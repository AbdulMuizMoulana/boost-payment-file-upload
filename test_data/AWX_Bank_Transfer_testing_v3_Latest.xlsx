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PycharmProjects\FileUploadAutomation\test_data\"/>
    </mc:Choice>
  </mc:AlternateContent>
  <xr:revisionPtr revIDLastSave="0" documentId="13_ncr:1_{0D3DC072-0265-4932-9673-858C5C6873E3}" xr6:coauthVersionLast="47" xr6:coauthVersionMax="47" xr10:uidLastSave="{00000000-0000-0000-0000-000000000000}"/>
  <bookViews>
    <workbookView xWindow="1130" yWindow="1020" windowWidth="18070" windowHeight="9780" tabRatio="500" xr2:uid="{00000000-000D-0000-FFFF-FFFF00000000}"/>
  </bookViews>
  <sheets>
    <sheet name="Payment_Entry" sheetId="1" r:id="rId1"/>
    <sheet name="Instructions" sheetId="2" r:id="rId2"/>
    <sheet name="Country_List" sheetId="3" r:id="rId3"/>
    <sheet name="Mapping" sheetId="4" state="hidden" r:id="rId4"/>
    <sheet name="Fields_Mapping_(2)" sheetId="5" state="hidden" r:id="rId5"/>
  </sheets>
  <definedNames>
    <definedName name="_xlnm._FilterDatabase" localSheetId="1" hidden="1">Instructions!$B$3:$D$33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4" i="1" l="1"/>
  <c r="AA1" i="5"/>
  <c r="J1" i="5"/>
  <c r="AA1" i="4"/>
  <c r="J1" i="4"/>
  <c r="K13" i="1"/>
  <c r="A13" i="1"/>
  <c r="K12" i="1"/>
  <c r="A12" i="1"/>
  <c r="K11" i="1"/>
  <c r="A11" i="1"/>
  <c r="K10" i="1"/>
  <c r="A10" i="1"/>
  <c r="K9" i="1"/>
  <c r="A9" i="1"/>
  <c r="K8" i="1"/>
  <c r="A8" i="1"/>
  <c r="K7" i="1"/>
  <c r="A7" i="1"/>
  <c r="K6" i="1"/>
  <c r="A6" i="1"/>
  <c r="K5" i="1"/>
  <c r="A5" i="1"/>
  <c r="K4" i="1"/>
  <c r="Z1" i="1"/>
  <c r="I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4" authorId="0" shapeId="0" xr:uid="{00000000-0006-0000-0300-000001000000}">
      <text>
        <r>
          <rPr>
            <sz val="10"/>
            <rFont val="Arial"/>
            <family val="2"/>
          </rPr>
          <t xml:space="preserve">Daniela Fernandez:
</t>
        </r>
        <r>
          <rPr>
            <sz val="9"/>
            <color rgb="FF000000"/>
            <rFont val="Tahoma"/>
            <charset val="1"/>
          </rPr>
          <t>Requires transformation to country code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4" authorId="0" shapeId="0" xr:uid="{00000000-0006-0000-0400-000002000000}">
      <text>
        <r>
          <rPr>
            <sz val="10"/>
            <rFont val="Arial"/>
            <family val="2"/>
          </rPr>
          <t xml:space="preserve">Daniela Fernandez:
</t>
        </r>
        <r>
          <rPr>
            <sz val="9"/>
            <color rgb="FF000000"/>
            <rFont val="Tahoma"/>
            <charset val="1"/>
          </rPr>
          <t>Requires transformation to country code</t>
        </r>
      </text>
    </comment>
    <comment ref="B18" authorId="0" shapeId="0" xr:uid="{00000000-0006-0000-0400-000001000000}">
      <text>
        <r>
          <rPr>
            <sz val="10"/>
            <rFont val="Arial"/>
            <family val="2"/>
          </rPr>
          <t xml:space="preserve">Daniela Fernandez:
</t>
        </r>
        <r>
          <rPr>
            <sz val="9"/>
            <color rgb="FF000000"/>
            <rFont val="Tahoma"/>
            <charset val="1"/>
          </rPr>
          <t>Requires transformation to country code</t>
        </r>
      </text>
    </comment>
  </commentList>
</comments>
</file>

<file path=xl/sharedStrings.xml><?xml version="1.0" encoding="utf-8"?>
<sst xmlns="http://schemas.openxmlformats.org/spreadsheetml/2006/main" count="905" uniqueCount="438">
  <si>
    <t>Payments Total:</t>
  </si>
  <si>
    <t>Invoice Total:</t>
  </si>
  <si>
    <t>Today's Date
(MM/DD/YYYY)</t>
  </si>
  <si>
    <t>Payer's name</t>
  </si>
  <si>
    <t>Gateway Supplier ID</t>
  </si>
  <si>
    <t>Additional Merchant Number</t>
  </si>
  <si>
    <t>Supplier Name</t>
  </si>
  <si>
    <t>Intercept Email Address</t>
  </si>
  <si>
    <t>Country</t>
  </si>
  <si>
    <t>Currency</t>
  </si>
  <si>
    <t>Total Amount</t>
  </si>
  <si>
    <t>Payment 
Ref Num</t>
  </si>
  <si>
    <t>Card Number</t>
  </si>
  <si>
    <t>Expiration Date (MMYY)</t>
  </si>
  <si>
    <t>CVV if required by country</t>
  </si>
  <si>
    <t>Name of Token</t>
  </si>
  <si>
    <t>Card 
Last 4</t>
  </si>
  <si>
    <t>Token Value</t>
  </si>
  <si>
    <t>Payment Adjustment</t>
  </si>
  <si>
    <t>Adjustment Desc</t>
  </si>
  <si>
    <t>Tax1 Type</t>
  </si>
  <si>
    <t>Tax1 Amount</t>
  </si>
  <si>
    <t>Tax2 Type</t>
  </si>
  <si>
    <t>Tax2 Amount</t>
  </si>
  <si>
    <t>Number of items</t>
  </si>
  <si>
    <t>Invoice Number</t>
  </si>
  <si>
    <t>Invoice Date
(MM/DD/YYYY)</t>
  </si>
  <si>
    <t>Invoice Amount</t>
  </si>
  <si>
    <t>PO Number</t>
  </si>
  <si>
    <t>Invoice Discount</t>
  </si>
  <si>
    <t>Invoice Desc</t>
  </si>
  <si>
    <t>Additional Desc</t>
  </si>
  <si>
    <t>Core-Mark</t>
  </si>
  <si>
    <t>acct_1hu8d7xROqiV40QlB6dryw</t>
  </si>
  <si>
    <t>Big Group</t>
  </si>
  <si>
    <t>13190361@boostb-b.com</t>
  </si>
  <si>
    <t>United Kingdom</t>
  </si>
  <si>
    <t>GBP</t>
  </si>
  <si>
    <t>1229</t>
  </si>
  <si>
    <t>0008</t>
  </si>
  <si>
    <t>EUR</t>
  </si>
  <si>
    <t>USD</t>
  </si>
  <si>
    <t>acct__6M7R2Y-ON6HHKUvhSVsHQ</t>
  </si>
  <si>
    <t>Payarto sp z o.o</t>
  </si>
  <si>
    <t>13391750@boostb-b.com</t>
  </si>
  <si>
    <t>Poland</t>
  </si>
  <si>
    <t>PLN</t>
  </si>
  <si>
    <t>acct_9wbSjwu5MiqjSqSkIjrw6A</t>
  </si>
  <si>
    <t>ALMATEC Masch GmbH</t>
  </si>
  <si>
    <t>almatecbci@boostintercept.com</t>
  </si>
  <si>
    <t>Germany</t>
  </si>
  <si>
    <t>acct_-QCjN2GZPYOZRCqLS8yTGQ</t>
  </si>
  <si>
    <t>iDOC Srl</t>
  </si>
  <si>
    <t>13323628@boostb-b.com</t>
  </si>
  <si>
    <t>Italy</t>
  </si>
  <si>
    <t>acct_lozkzLRFOiKjxxA_yEZVTg</t>
  </si>
  <si>
    <t>Onetray SRL</t>
  </si>
  <si>
    <t>13507234@boostb-b.com</t>
  </si>
  <si>
    <t>acct_eg1u3vQ7P02QPf3OR2XIog</t>
  </si>
  <si>
    <t>STP*Catapult Ltd</t>
  </si>
  <si>
    <t>13291083@boostb-b.com</t>
  </si>
  <si>
    <t>Ireland</t>
  </si>
  <si>
    <t>Below are the fields used in this spreadsheet.  Required fields are used for all payments and invoices.  Conditional fields are required under certain circumstances.  Optional fields can be filled in at your discretion.</t>
  </si>
  <si>
    <t>Field Name</t>
  </si>
  <si>
    <t>Type</t>
  </si>
  <si>
    <t>Description</t>
  </si>
  <si>
    <t>Payment fields - one row per payment</t>
  </si>
  <si>
    <t>Today's Date</t>
  </si>
  <si>
    <t>Required</t>
  </si>
  <si>
    <t>Date that this payment file is submitted - the same value for all payments in the batch. Format: MM/DD/YYYY</t>
  </si>
  <si>
    <t>Your company's name or the name of the paying company, as agreed and recorded with Boost</t>
  </si>
  <si>
    <t>Merchant Number or Supplier ID</t>
  </si>
  <si>
    <t>Optional</t>
  </si>
  <si>
    <t>The identifier for the supplier as agreed with Boost.  This identifies the supplier at the payment gateway.</t>
  </si>
  <si>
    <t>Additional identifier used for some payment systems.  Example is Mastercard SITEID.</t>
  </si>
  <si>
    <t>Supplier Name as onboard to the Boost platform</t>
  </si>
  <si>
    <t>Intercept email address as provided by Boost</t>
  </si>
  <si>
    <t>Country of supplier - choose from the list</t>
  </si>
  <si>
    <t>ISO standard 3-letter abbreviation for the currency (e.g. USD, CAD, EUR).  Blank is assumed to be USD.</t>
  </si>
  <si>
    <t>Total amount of the payment - the full amount to be charged to the card.  This is the amount that Boost will process.</t>
  </si>
  <si>
    <t>Payment Ref Num</t>
  </si>
  <si>
    <t>Payment reference number - whatever you require for tracking the payment.  If no other number then enter the first invoice number.</t>
  </si>
  <si>
    <t>Conditional</t>
  </si>
  <si>
    <t>Single-use (SUA) full card number - required if this is a single-use card payment</t>
  </si>
  <si>
    <t>Expiration</t>
  </si>
  <si>
    <t>Expiration Date of single-use card - required if this is a single-use card payment</t>
  </si>
  <si>
    <t>Card Verification Value if required by your country to process payments</t>
  </si>
  <si>
    <t>This is the name of the token as specified in the token vault - this is not the actual token value</t>
  </si>
  <si>
    <t>Card Last 4</t>
  </si>
  <si>
    <t xml:space="preserve">Last 4 digits of card number - required for cards vaulted with a </t>
  </si>
  <si>
    <t>Token value - required if neither a Card Number nor a Name of Token is provided</t>
  </si>
  <si>
    <t>Optional adjustment amount to be applied to the payment - can be positive or negative</t>
  </si>
  <si>
    <t>An optional text description of the adjustment</t>
  </si>
  <si>
    <t>If a tax is applied to this payment, enter the type or name of the tax here</t>
  </si>
  <si>
    <t>If a tax is applied to this payment, enter the amount here</t>
  </si>
  <si>
    <t>If a second tax is applied to this payment, enter the type or name of the tax here</t>
  </si>
  <si>
    <t>If a second tax is applied to this payment, enter the amount here</t>
  </si>
  <si>
    <t>The number of invoice lines for this payment - if the payment has 5 invoice line items, enter "5" here</t>
  </si>
  <si>
    <t>Invoice Items - One or more per payment</t>
  </si>
  <si>
    <t>The number of the individual line item - if there is no invoice number, enter a sequential number (e.g. 1, 2, 3…)</t>
  </si>
  <si>
    <t>Invoice Date</t>
  </si>
  <si>
    <t>Date of invoice. Format: MM/DD/YYYY</t>
  </si>
  <si>
    <r>
      <rPr>
        <sz val="11"/>
        <color rgb="FF000000"/>
        <rFont val="Calibri"/>
        <charset val="1"/>
      </rPr>
      <t xml:space="preserve">Amount of the invoice line item. </t>
    </r>
    <r>
      <rPr>
        <b/>
        <sz val="11"/>
        <color rgb="FF000000"/>
        <rFont val="Calibri"/>
        <charset val="1"/>
      </rPr>
      <t>Credits must be entered as negative amounts.</t>
    </r>
  </si>
  <si>
    <t>Optional purchase order or payment trace number</t>
  </si>
  <si>
    <t>Optional discount to be applied to the invoice amount</t>
  </si>
  <si>
    <t>Description of the invoice item.  If there is an associated account number for this item, enter it here.</t>
  </si>
  <si>
    <t>Additional description of the invoice line item</t>
  </si>
  <si>
    <t>Note, if you copy and paste data from another source, please remember to "paste values" only - this will preserve the formatting and any formulas in this spreadsheet.  To paste values only, right-click in the destination cell and select the option illustrated here:</t>
  </si>
  <si>
    <t>Country Name</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</si>
  <si>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</si>
  <si>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</si>
  <si>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</si>
  <si>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</si>
  <si>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</si>
  <si>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</si>
  <si>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</si>
  <si>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</si>
  <si>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</si>
  <si>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</si>
  <si>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</si>
  <si>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</si>
  <si>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</si>
  <si>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</si>
  <si>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</si>
  <si>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</si>
  <si>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</si>
  <si>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</si>
  <si>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</si>
  <si>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</si>
  <si>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</si>
  <si>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</si>
  <si>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</si>
  <si>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</si>
  <si>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Åland Islands</t>
  </si>
  <si>
    <t>Bhutan</t>
  </si>
  <si>
    <t>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</si>
  <si>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</si>
  <si>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</si>
  <si>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</si>
  <si>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</si>
  <si>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</si>
  <si>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</si>
  <si>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</si>
  <si>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</si>
  <si>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</si>
  <si>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</si>
  <si>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</si>
  <si>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</si>
  <si>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</si>
  <si>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</si>
  <si>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</si>
  <si>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</si>
  <si>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</si>
  <si>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</si>
  <si>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</si>
  <si>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</si>
  <si>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Islands</t>
  </si>
  <si>
    <t>Colombia</t>
  </si>
  <si>
    <t>Comoros</t>
  </si>
  <si>
    <t>Congo (the Democratic Republic of the)</t>
  </si>
  <si>
    <t>Congo</t>
  </si>
  <si>
    <t>Cook Islands</t>
  </si>
  <si>
    <t>Costa Rica</t>
  </si>
  <si>
    <t>Croatia</t>
  </si>
  <si>
    <t>Cuba</t>
  </si>
  <si>
    <t>Curaçao</t>
  </si>
  <si>
    <t>Cyprus</t>
  </si>
  <si>
    <t>Czech Republic</t>
  </si>
  <si>
    <t>Côte d'Ivoire</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</si>
  <si>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</si>
  <si>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</si>
  <si>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</si>
  <si>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</si>
  <si>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</si>
  <si>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</si>
  <si>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</si>
  <si>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</si>
  <si>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</si>
  <si>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</si>
  <si>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</si>
  <si>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</si>
  <si>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</si>
  <si>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</si>
  <si>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</si>
  <si>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</si>
  <si>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</si>
  <si>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</si>
  <si>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</si>
  <si>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</si>
  <si>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</si>
  <si>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</si>
  <si>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</si>
  <si>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</si>
  <si>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</si>
  <si>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</si>
  <si>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</si>
  <si>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</si>
  <si>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</si>
  <si>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</si>
  <si>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</si>
  <si>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Guernsey</t>
  </si>
  <si>
    <t>Guinea</t>
  </si>
  <si>
    <t>Guinea-Bissau</t>
  </si>
  <si>
    <t>Guyana</t>
  </si>
  <si>
    <t>Haiti</t>
  </si>
  <si>
    <t>Heard Island and McDonald Islands</t>
  </si>
  <si>
    <t>Holy See</t>
  </si>
  <si>
    <t>Honduras</t>
  </si>
  <si>
    <t>Hong Kong</t>
  </si>
  <si>
    <t>Hungary</t>
  </si>
  <si>
    <t>Iceland</t>
  </si>
  <si>
    <t>India</t>
  </si>
  <si>
    <t>Indonesia</t>
  </si>
  <si>
    <t>Iran</t>
  </si>
  <si>
    <t>Iraq</t>
  </si>
  <si>
    <t>Isle of Man</t>
  </si>
  <si>
    <t>Israel</t>
  </si>
  <si>
    <t>Jamaica</t>
  </si>
  <si>
    <t>Japan</t>
  </si>
  <si>
    <t>Jersey</t>
  </si>
  <si>
    <t>Jordan</t>
  </si>
  <si>
    <t>Kazakhstan</t>
  </si>
  <si>
    <t>Kenya</t>
  </si>
  <si>
    <t>Kiribati</t>
  </si>
  <si>
    <t>North Korea</t>
  </si>
  <si>
    <t>South Korea</t>
  </si>
  <si>
    <t>Kuwait</t>
  </si>
  <si>
    <t>Kyrgyzstan</t>
  </si>
  <si>
    <t>Laos</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</si>
  <si>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</si>
  <si>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</si>
  <si>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</si>
  <si>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</si>
  <si>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</si>
  <si>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</si>
  <si>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</si>
  <si>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</si>
  <si>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</si>
  <si>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</si>
  <si>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</si>
  <si>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</si>
  <si>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</si>
  <si>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</si>
  <si>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</si>
  <si>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</si>
  <si>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</si>
  <si>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</si>
  <si>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</si>
  <si>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</si>
  <si>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</si>
  <si>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</si>
  <si>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</si>
  <si>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</si>
  <si>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</si>
  <si>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</si>
  <si>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</si>
  <si>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</si>
  <si>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</si>
  <si>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</si>
  <si>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</si>
  <si>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</si>
  <si>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</si>
  <si>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</si>
  <si>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</si>
  <si>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</si>
  <si>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</si>
  <si>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</si>
  <si>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</si>
  <si>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</si>
  <si>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</si>
  <si>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 Macedonia</t>
  </si>
  <si>
    <t>Northern Mariana Islands</t>
  </si>
  <si>
    <t>Norway</t>
  </si>
  <si>
    <t>Oman</t>
  </si>
  <si>
    <t>Pakistan</t>
  </si>
  <si>
    <t>Palau</t>
  </si>
  <si>
    <t>Palestine</t>
  </si>
  <si>
    <t>Panama</t>
  </si>
  <si>
    <t>Papua New Guinea</t>
  </si>
  <si>
    <t>Paraguay</t>
  </si>
  <si>
    <t>Peru</t>
  </si>
  <si>
    <t>Philippines</t>
  </si>
  <si>
    <t>Pitcairn</t>
  </si>
  <si>
    <t>Portugal</t>
  </si>
  <si>
    <t>Puerto Rico</t>
  </si>
  <si>
    <t>Qatar</t>
  </si>
  <si>
    <t>Romania</t>
  </si>
  <si>
    <t>Russia</t>
  </si>
  <si>
    <t>Rwanda</t>
  </si>
  <si>
    <t>Réunion</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</si>
  <si>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</si>
  <si>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</si>
  <si>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</si>
  <si>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</si>
  <si>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</si>
  <si>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</si>
  <si>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</si>
  <si>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</si>
  <si>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</si>
  <si>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</si>
  <si>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</si>
  <si>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</si>
  <si>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</si>
  <si>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</si>
  <si>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</si>
  <si>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</si>
  <si>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</si>
  <si>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</si>
  <si>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</si>
  <si>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</si>
  <si>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</si>
  <si>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</si>
  <si>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</si>
  <si>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</si>
  <si>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</si>
  <si>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</si>
  <si>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</si>
  <si>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</si>
  <si>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</si>
  <si>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</si>
  <si>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</si>
  <si>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t>
  </si>
  <si>
    <t>Taiwan</t>
  </si>
  <si>
    <t>Tajikistan</t>
  </si>
  <si>
    <t>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</si>
  <si>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</si>
  <si>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</si>
  <si>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</si>
  <si>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</si>
  <si>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</si>
  <si>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</si>
  <si>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</si>
  <si>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</si>
  <si>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</si>
  <si>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</si>
  <si>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</si>
  <si>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</si>
  <si>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</si>
  <si>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</si>
  <si>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States Minor Outlying Islands</t>
  </si>
  <si>
    <t>USA</t>
  </si>
  <si>
    <t>Uruguay</t>
  </si>
  <si>
    <t>Uzbekistan</t>
  </si>
  <si>
    <t>Vanuatu</t>
  </si>
  <si>
    <t>Venezuela</t>
  </si>
  <si>
    <t>Vietnam</t>
  </si>
  <si>
    <t>Virgin Islands (British)</t>
  </si>
  <si>
    <t>Virgin Islands (U.S.)</t>
  </si>
  <si>
    <t>Wallis and Futuna</t>
  </si>
  <si>
    <t>Western Sahara</t>
  </si>
  <si>
    <t>Yemen</t>
  </si>
  <si>
    <t>Zambia</t>
  </si>
  <si>
    <t>Zimbabwe</t>
  </si>
  <si>
    <t>manualbatch</t>
  </si>
  <si>
    <t>total_payment_amount</t>
  </si>
  <si>
    <t>total_invoice_amount</t>
  </si>
  <si>
    <t>NA</t>
  </si>
  <si>
    <t>buyer_name</t>
  </si>
  <si>
    <t xml:space="preserve">boost_sf_merchant_num
</t>
  </si>
  <si>
    <t>buyer_vendor_id OR
source_merchant_id</t>
  </si>
  <si>
    <t xml:space="preserve">merchant_name
merchant_name _orig
</t>
  </si>
  <si>
    <t>merchant_key</t>
  </si>
  <si>
    <t xml:space="preserve">country_code </t>
  </si>
  <si>
    <t>currency</t>
  </si>
  <si>
    <t>amount</t>
  </si>
  <si>
    <t>merchant_reference_number</t>
  </si>
  <si>
    <t>card_number</t>
  </si>
  <si>
    <t>card_expiry</t>
  </si>
  <si>
    <t>cvv</t>
  </si>
  <si>
    <t>token_key</t>
  </si>
  <si>
    <t>card_last_four</t>
  </si>
  <si>
    <t>token</t>
  </si>
  <si>
    <t xml:space="preserve">adjustment_amount  </t>
  </si>
  <si>
    <t>No fields to store it</t>
  </si>
  <si>
    <t>tax_type1</t>
  </si>
  <si>
    <t>tax_amount1</t>
  </si>
  <si>
    <t>tax_type2</t>
  </si>
  <si>
    <t>tax_amount2</t>
  </si>
  <si>
    <t>N/A</t>
  </si>
  <si>
    <t>invoice_number</t>
  </si>
  <si>
    <t>invoice_date</t>
  </si>
  <si>
    <t>purchase_order_num</t>
  </si>
  <si>
    <t>discount_amount</t>
  </si>
  <si>
    <t>item_description1</t>
  </si>
  <si>
    <t>item_description2</t>
  </si>
  <si>
    <t>Table</t>
  </si>
  <si>
    <t>payment</t>
  </si>
  <si>
    <t>paymentcard</t>
  </si>
  <si>
    <t>invoice</t>
  </si>
  <si>
    <t>File Column</t>
  </si>
  <si>
    <t>Data Model Field</t>
  </si>
  <si>
    <t xml:space="preserve">Table </t>
  </si>
  <si>
    <t>Validations</t>
  </si>
  <si>
    <t>Error Message</t>
  </si>
  <si>
    <t>Comments</t>
  </si>
  <si>
    <t xml:space="preserve">The value must be NOT NULL 
</t>
  </si>
  <si>
    <t>This field cannot be empty</t>
  </si>
  <si>
    <t xml:space="preserve">The value must be equal to the current day.
</t>
  </si>
  <si>
    <t>The date must be today´s date</t>
  </si>
  <si>
    <t xml:space="preserve">All the values in this column must be the same </t>
  </si>
  <si>
    <t xml:space="preserve">The value must be NOT NULL </t>
  </si>
  <si>
    <t>merchant_name
merchant_name _orig</t>
  </si>
  <si>
    <t xml:space="preserve">If the value in the column "Intercept email address (Merchant Key)" is an email (identified with "@" symbol and ".com"), this value must exist in the Merchant Alias table in the Merchant Key field </t>
  </si>
  <si>
    <t>This Intercept email address couldn´t be found in the Merchant Alias table</t>
  </si>
  <si>
    <t>The country code is within the 3 characters ISO country codes list (CountryMap table)</t>
  </si>
  <si>
    <t>This country code couldn´t be found in the Country Map table</t>
  </si>
  <si>
    <t>The currency code is within the 3 characters ISO currency codes list (CurrencyMap table)</t>
  </si>
  <si>
    <t>This currency code couldn´t be found in the Currency Map table</t>
  </si>
  <si>
    <t xml:space="preserve">The value must be a number </t>
  </si>
  <si>
    <t>This is an invalid Total Amount</t>
  </si>
  <si>
    <t>If the "Name of Token" AND "Token Value" are empty, this field is mandatory and cannot be empty</t>
  </si>
  <si>
    <t xml:space="preserve">The value can contain only numbers or asterisks (*) and numbers.  </t>
  </si>
  <si>
    <t>The Card Number of the payment has an invalid format </t>
  </si>
  <si>
    <t>If the Card Number is populated, this field is mandatory and cannot be empty</t>
  </si>
  <si>
    <t xml:space="preserve">The expiration date must be after Today's Date </t>
  </si>
  <si>
    <t>The expiration date of the card is before the payment date </t>
  </si>
  <si>
    <t xml:space="preserve">The format must be "MMYY" or "MM-anypunctuation-YY" </t>
  </si>
  <si>
    <t>The expiration date of the payment has an invalid format </t>
  </si>
  <si>
    <t>if the country is XXXXX, then this field is mandatory and cannot be empty</t>
  </si>
  <si>
    <t>Please send us the list of countries where the CVV is mandatory</t>
  </si>
  <si>
    <t>If the "Card Number" AND "Token Value" are empty, this field is mandatory and cannot be empty</t>
  </si>
  <si>
    <t>If the "Card Number" AND "Name of Token" are empty, this field is mandatory and cannot be empty</t>
  </si>
  <si>
    <t xml:space="preserve">The value must contain only numbers or number and spaces. 
If the value contains only numbers and spaces, we must remove the spaces before storing it. </t>
  </si>
  <si>
    <t>The Card Last 4 of the payment has an invalid format </t>
  </si>
  <si>
    <t>The field can contain only 4 digits</t>
  </si>
  <si>
    <t>The field's length exceeds the allowed limit.</t>
  </si>
  <si>
    <t>Do we need to add the field in the Payment table?</t>
  </si>
  <si>
    <t xml:space="preserve">The value must be equal to the count of rows after this line (including this line) and before an empty line or a new payment line.  </t>
  </si>
  <si>
    <t>The Number of items does not match with the amount of invoice rows in the file</t>
  </si>
  <si>
    <t xml:space="preserve">If present it must be a date </t>
  </si>
  <si>
    <t>The invoice Date has an invalid format</t>
  </si>
  <si>
    <r>
      <rPr>
        <sz val="12"/>
        <color rgb="FF000000"/>
        <rFont val="Calibri"/>
        <charset val="1"/>
      </rPr>
      <t xml:space="preserve">The sum of the column “Payment Amount” should total the “Payments Total”  
</t>
    </r>
    <r>
      <rPr>
        <b/>
        <sz val="12"/>
        <color rgb="FF000000"/>
        <rFont val="Calibri"/>
        <charset val="1"/>
      </rPr>
      <t>Note</t>
    </r>
    <r>
      <rPr>
        <sz val="12"/>
        <color rgb="FF000000"/>
        <rFont val="Calibri"/>
        <charset val="1"/>
      </rPr>
      <t xml:space="preserve">: Be sure that there are no empty rows </t>
    </r>
  </si>
  <si>
    <t>The sum of the Payment Amount of all Payment records differs from the Payment Total</t>
  </si>
  <si>
    <t xml:space="preserve">Payments Total must be equal to Invoice Total  </t>
  </si>
  <si>
    <t>Invoice Total is different from Payments Total.</t>
  </si>
  <si>
    <r>
      <rPr>
        <sz val="12"/>
        <color rgb="FF000000"/>
        <rFont val="Calibri"/>
        <charset val="1"/>
      </rPr>
      <t xml:space="preserve">The sum of the "Invoice Amount" of all invoice items differs from the Invoice Total 
</t>
    </r>
    <r>
      <rPr>
        <b/>
        <sz val="12"/>
        <color rgb="FF000000"/>
        <rFont val="Calibri"/>
        <charset val="1"/>
      </rPr>
      <t xml:space="preserve">Note: </t>
    </r>
    <r>
      <rPr>
        <sz val="12"/>
        <color rgb="FF000000"/>
        <rFont val="Calibri"/>
        <charset val="1"/>
      </rPr>
      <t xml:space="preserve">Be sure that there are no empty rows </t>
    </r>
  </si>
  <si>
    <t xml:space="preserve">The sum of the Invoice Amount of all invoice items differs from the Invoice Total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</si>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</sst>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0.00\ ;\ * \(#,##0.00\);\ * \-#\ ;\ @\ "/>
    <numFmt numFmtId="165" formatCode="d\-mmm\-yyyy;@"/>
    <numFmt numFmtId="166" formatCode="m/d/yyyy"/>
  </numFmts>
  <fonts count="21">
    <font>
      <sz val="11"/>
      <color rgb="FF000000"/>
      <name val="Calibri"/>
      <charset val="1"/>
    </font>
    <font>
      <u/>
      <sz val="11"/>
      <color rgb="FF0563C1"/>
      <name val="Calibri"/>
      <charset val="1"/>
    </font>
    <font>
      <sz val="12"/>
      <color rgb="FF000000"/>
      <name val="Calibri"/>
      <charset val="1"/>
    </font>
    <font>
      <sz val="12"/>
      <color rgb="FFFFFFFF"/>
      <name val="Calibri"/>
      <charset val="1"/>
    </font>
    <font>
      <b/>
      <sz val="12"/>
      <color rgb="FFFFFFFF"/>
      <name val="Calibri"/>
      <charset val="1"/>
    </font>
    <font>
      <sz val="12"/>
      <color theme="1"/>
      <name val="Calibri"/>
      <family val="2"/>
      <charset val="1"/>
    </font>
    <font>
      <sz val="7"/>
      <color rgb="FF000000"/>
      <name val="Arial"/>
      <charset val="1"/>
    </font>
    <font>
      <sz val="12"/>
      <color rgb="FF000000"/>
      <name val="Aptos Narrow"/>
      <charset val="1"/>
    </font>
    <font>
      <sz val="10"/>
      <color rgb="FF000000"/>
      <name val="Times New Roman"/>
      <family val="1"/>
      <charset val="1"/>
    </font>
    <font>
      <sz val="9"/>
      <color rgb="FF000000"/>
      <name val="Helvetica Neue"/>
      <charset val="1"/>
    </font>
    <font>
      <sz val="10"/>
      <color rgb="FF002663"/>
      <name val="Times New Roman"/>
      <family val="1"/>
      <charset val="1"/>
    </font>
    <font>
      <sz val="10"/>
      <color rgb="FF000000"/>
      <name val="Calibri"/>
      <charset val="1"/>
    </font>
    <font>
      <sz val="10"/>
      <color rgb="FF000000"/>
      <name val="Times New Roman"/>
      <charset val="1"/>
    </font>
    <font>
      <sz val="10"/>
      <color rgb="FF0000FF"/>
      <name val="Times New Roman"/>
      <charset val="1"/>
    </font>
    <font>
      <sz val="9"/>
      <color rgb="FF002663"/>
      <name val="Arial"/>
      <charset val="1"/>
    </font>
    <font>
      <b/>
      <sz val="11"/>
      <color rgb="FF000000"/>
      <name val="Calibri"/>
      <charset val="1"/>
    </font>
    <font>
      <sz val="10"/>
      <name val="Arial"/>
      <family val="2"/>
    </font>
    <font>
      <sz val="9"/>
      <color rgb="FF000000"/>
      <name val="Tahoma"/>
      <charset val="1"/>
    </font>
    <font>
      <b/>
      <sz val="12"/>
      <color rgb="FF000000"/>
      <name val="Calibri"/>
      <charset val="1"/>
    </font>
    <font>
      <sz val="11"/>
      <color rgb="FF000000"/>
      <name val="Calibri"/>
      <charset val="1"/>
    </font>
    <font>
      <u/>
      <sz val="11"/>
      <color theme="10"/>
      <name val="Calibri"/>
      <charset val="1"/>
    </font>
  </fonts>
  <fills count="9">
    <fill>
      <patternFill patternType="none"/>
    </fill>
    <fill>
      <patternFill patternType="gray125"/>
    </fill>
    <fill>
      <patternFill patternType="solid">
        <fgColor rgb="FFFF99CC"/>
        <bgColor rgb="FFFF8080"/>
      </patternFill>
    </fill>
    <fill>
      <patternFill patternType="solid">
        <fgColor rgb="FF305496"/>
        <bgColor rgb="FF0563C1"/>
      </patternFill>
    </fill>
    <fill>
      <patternFill patternType="solid">
        <fgColor rgb="FFF8CBAD"/>
        <bgColor rgb="FFD0CECE"/>
      </patternFill>
    </fill>
    <fill>
      <patternFill patternType="solid">
        <fgColor rgb="FFFFFF00"/>
        <bgColor rgb="FFFFFF00"/>
      </patternFill>
    </fill>
    <fill>
      <patternFill patternType="solid">
        <fgColor rgb="FFFF0000"/>
        <bgColor rgb="FF993300"/>
      </patternFill>
    </fill>
    <fill>
      <patternFill patternType="solid">
        <fgColor rgb="FFC9C9C9"/>
        <bgColor rgb="FFD0CECE"/>
      </patternFill>
    </fill>
    <fill>
      <patternFill patternType="solid">
        <fgColor rgb="FFD0CECE"/>
        <bgColor rgb="FFC9C9C9"/>
      </patternFill>
    </fill>
  </fills>
  <borders count="8">
    <border>
      <left/>
      <right/>
      <top/>
      <bottom/>
      <diagonal/>
    </border>
    <border>
      <left/>
      <right style="hair">
        <color auto="1"/>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top/>
      <bottom/>
      <diagonal/>
    </border>
    <border>
      <left/>
      <right/>
      <top/>
      <bottom style="medium">
        <color rgb="FFE0E0E0"/>
      </bottom>
      <diagonal/>
    </border>
    <border>
      <left/>
      <right style="hair">
        <color auto="1"/>
      </right>
      <top style="hair">
        <color auto="1"/>
      </top>
      <bottom/>
      <diagonal/>
    </border>
    <border>
      <left style="hair">
        <color auto="1"/>
      </left>
      <right style="hair">
        <color auto="1"/>
      </right>
      <top style="hair">
        <color auto="1"/>
      </top>
      <bottom/>
      <diagonal/>
    </border>
  </borders>
  <cellStyleXfs count="4">
    <xf numFmtId="0" fontId="0" fillId="0" borderId="0"/>
    <xf numFmtId="0" fontId="20" fillId="0" borderId="0" applyNumberFormat="0" applyFill="0" applyBorder="0" applyAlignment="0" applyProtection="0"/>
    <xf numFmtId="164" fontId="19" fillId="0" borderId="0" applyBorder="0" applyProtection="0"/>
    <xf numFmtId="0" fontId="1" fillId="0" borderId="0" applyBorder="0" applyProtection="0"/>
  </cellStyleXfs>
  <cellXfs count="102">
    <xf numFmtId="0" fontId="0" fillId="0" borderId="0" xfId="0"/>
    <xf numFmtId="165" fontId="2" fillId="2" borderId="0" xfId="0" applyNumberFormat="1" applyFont="1" applyFill="1"/>
    <xf numFmtId="0" fontId="2" fillId="0" borderId="0" xfId="0" applyFont="1"/>
    <xf numFmtId="49" fontId="2" fillId="0" borderId="0" xfId="0" applyNumberFormat="1" applyFont="1" applyAlignment="1">
      <alignment horizontal="center"/>
    </xf>
    <xf numFmtId="0" fontId="2" fillId="0" borderId="0" xfId="0" applyFont="1" applyAlignment="1">
      <alignment horizontal="center"/>
    </xf>
    <xf numFmtId="164" fontId="2" fillId="0" borderId="0" xfId="2" applyFont="1" applyBorder="1" applyProtection="1"/>
    <xf numFmtId="49" fontId="2" fillId="0" borderId="0" xfId="0" applyNumberFormat="1" applyFont="1"/>
    <xf numFmtId="164" fontId="3" fillId="3" borderId="2" xfId="2" applyFont="1" applyFill="1" applyBorder="1" applyAlignment="1" applyProtection="1">
      <alignment vertical="center"/>
    </xf>
    <xf numFmtId="164" fontId="2" fillId="0" borderId="2" xfId="2" applyFont="1" applyBorder="1" applyProtection="1"/>
    <xf numFmtId="165" fontId="4" fillId="3" borderId="3" xfId="0" applyNumberFormat="1" applyFont="1" applyFill="1" applyBorder="1" applyAlignment="1">
      <alignment horizontal="center" wrapText="1"/>
    </xf>
    <xf numFmtId="0" fontId="4" fillId="3" borderId="3" xfId="0" applyFont="1" applyFill="1" applyBorder="1" applyAlignment="1">
      <alignment horizontal="center" wrapText="1"/>
    </xf>
    <xf numFmtId="49" fontId="4" fillId="3" borderId="3" xfId="0" applyNumberFormat="1" applyFont="1" applyFill="1" applyBorder="1" applyAlignment="1">
      <alignment horizontal="center" wrapText="1"/>
    </xf>
    <xf numFmtId="0" fontId="4" fillId="3" borderId="4" xfId="0" applyFont="1" applyFill="1" applyBorder="1" applyAlignment="1">
      <alignment horizontal="center" wrapText="1"/>
    </xf>
    <xf numFmtId="164" fontId="4" fillId="3" borderId="2" xfId="2" applyFont="1" applyFill="1" applyBorder="1" applyAlignment="1" applyProtection="1">
      <alignment horizontal="center" wrapText="1"/>
    </xf>
    <xf numFmtId="0" fontId="4" fillId="3" borderId="1" xfId="0" applyFont="1" applyFill="1" applyBorder="1" applyAlignment="1">
      <alignment horizontal="center" wrapText="1"/>
    </xf>
    <xf numFmtId="164" fontId="4" fillId="3" borderId="3" xfId="2" applyFont="1" applyFill="1" applyBorder="1" applyAlignment="1" applyProtection="1">
      <alignment horizontal="center" wrapText="1"/>
    </xf>
    <xf numFmtId="165" fontId="4" fillId="3" borderId="4" xfId="0" applyNumberFormat="1" applyFont="1" applyFill="1" applyBorder="1" applyAlignment="1">
      <alignment horizontal="center" wrapText="1"/>
    </xf>
    <xf numFmtId="49" fontId="4" fillId="3" borderId="1" xfId="0" applyNumberFormat="1" applyFont="1" applyFill="1" applyBorder="1" applyAlignment="1">
      <alignment horizontal="center" wrapText="1"/>
    </xf>
    <xf numFmtId="0" fontId="4" fillId="0" borderId="0" xfId="0" applyFont="1" applyAlignment="1">
      <alignment wrapText="1"/>
    </xf>
    <xf numFmtId="165" fontId="5" fillId="2" borderId="0" xfId="0" applyNumberFormat="1" applyFont="1" applyFill="1"/>
    <xf numFmtId="0" fontId="6" fillId="0" borderId="0" xfId="0" applyFont="1"/>
    <xf numFmtId="0" fontId="7" fillId="0" borderId="0" xfId="0" applyFont="1"/>
    <xf numFmtId="0" fontId="8" fillId="0" borderId="0" xfId="0" applyFont="1"/>
    <xf numFmtId="0" fontId="9" fillId="0" borderId="0" xfId="0" applyFont="1"/>
    <xf numFmtId="0" fontId="0" fillId="0" borderId="2" xfId="0" applyBorder="1"/>
    <xf numFmtId="0" fontId="7" fillId="0" borderId="2" xfId="0" applyFont="1" applyBorder="1"/>
    <xf numFmtId="1" fontId="10" fillId="0" borderId="0" xfId="0" applyNumberFormat="1" applyFont="1"/>
    <xf numFmtId="0" fontId="8" fillId="0" borderId="0" xfId="0" applyFont="1" applyAlignment="1">
      <alignment horizontal="right" wrapText="1"/>
    </xf>
    <xf numFmtId="0" fontId="11" fillId="0" borderId="0" xfId="0" applyFont="1"/>
    <xf numFmtId="0" fontId="1" fillId="0" borderId="0" xfId="3" applyBorder="1" applyProtection="1"/>
    <xf numFmtId="0" fontId="7" fillId="0" borderId="0" xfId="0" applyFont="1" applyAlignment="1">
      <alignment horizontal="left" indent="1"/>
    </xf>
    <xf numFmtId="0" fontId="12" fillId="0" borderId="0" xfId="0" applyFont="1" applyAlignment="1">
      <alignment wrapText="1"/>
    </xf>
    <xf numFmtId="0" fontId="0" fillId="0" borderId="0" xfId="0" applyAlignment="1">
      <alignment wrapText="1"/>
    </xf>
    <xf numFmtId="0" fontId="13" fillId="0" borderId="0" xfId="0" applyFont="1" applyAlignment="1">
      <alignment wrapText="1"/>
    </xf>
    <xf numFmtId="0" fontId="11" fillId="0" borderId="2" xfId="0" applyFont="1" applyBorder="1"/>
    <xf numFmtId="0" fontId="6" fillId="0" borderId="5" xfId="0" applyFont="1" applyBorder="1" applyAlignment="1">
      <alignment horizontal="left" vertical="center" indent="1"/>
    </xf>
    <xf numFmtId="0" fontId="1" fillId="0" borderId="0" xfId="3" applyBorder="1" applyAlignment="1" applyProtection="1">
      <alignment vertical="center" wrapText="1"/>
    </xf>
    <xf numFmtId="1" fontId="14" fillId="0" borderId="0" xfId="0" applyNumberFormat="1" applyFont="1"/>
    <xf numFmtId="0" fontId="0" fillId="0" borderId="0" xfId="0" applyAlignment="1">
      <alignment horizontal="center"/>
    </xf>
    <xf numFmtId="0" fontId="3" fillId="3" borderId="2" xfId="0" applyFont="1" applyFill="1" applyBorder="1"/>
    <xf numFmtId="0" fontId="4" fillId="3" borderId="2" xfId="0" applyFont="1" applyFill="1" applyBorder="1"/>
    <xf numFmtId="0" fontId="4" fillId="3" borderId="2" xfId="0" applyFont="1" applyFill="1" applyBorder="1" applyAlignment="1">
      <alignment horizontal="center" wrapText="1"/>
    </xf>
    <xf numFmtId="0" fontId="0" fillId="0" borderId="3" xfId="0" applyBorder="1" applyAlignment="1">
      <alignment horizontal="left" vertical="top"/>
    </xf>
    <xf numFmtId="0" fontId="0" fillId="0" borderId="0" xfId="0" applyAlignment="1">
      <alignment horizontal="center" vertical="top"/>
    </xf>
    <xf numFmtId="0" fontId="0" fillId="0" borderId="0" xfId="0" applyAlignment="1">
      <alignment vertical="top"/>
    </xf>
    <xf numFmtId="166" fontId="0" fillId="0" borderId="0" xfId="0" applyNumberFormat="1"/>
    <xf numFmtId="0" fontId="15" fillId="4" borderId="2" xfId="0" applyFont="1" applyFill="1" applyBorder="1" applyAlignment="1">
      <alignment horizontal="center" vertical="center"/>
    </xf>
    <xf numFmtId="0" fontId="0" fillId="0" borderId="2" xfId="0" applyBorder="1" applyAlignment="1">
      <alignment horizontal="left" vertical="center"/>
    </xf>
    <xf numFmtId="0" fontId="4" fillId="3" borderId="3" xfId="0" applyFont="1" applyFill="1" applyBorder="1" applyAlignment="1">
      <alignment horizontal="left" wrapText="1"/>
    </xf>
    <xf numFmtId="164" fontId="4" fillId="3" borderId="7" xfId="2" applyFont="1" applyFill="1" applyBorder="1" applyAlignment="1" applyProtection="1">
      <alignment horizontal="center" wrapText="1"/>
    </xf>
    <xf numFmtId="0" fontId="2" fillId="0" borderId="2" xfId="0" applyFont="1" applyBorder="1" applyAlignment="1">
      <alignment horizontal="left" vertical="top"/>
    </xf>
    <xf numFmtId="165" fontId="2" fillId="0" borderId="2" xfId="0" applyNumberFormat="1" applyFont="1" applyBorder="1" applyAlignment="1">
      <alignment horizontal="left" vertical="top"/>
    </xf>
    <xf numFmtId="49" fontId="2" fillId="5" borderId="2" xfId="0" applyNumberFormat="1" applyFont="1" applyFill="1" applyBorder="1" applyAlignment="1">
      <alignment horizontal="left" vertical="top" wrapText="1"/>
    </xf>
    <xf numFmtId="0" fontId="2" fillId="5" borderId="2" xfId="0" applyFont="1" applyFill="1" applyBorder="1" applyAlignment="1">
      <alignment horizontal="left" vertical="top" wrapText="1"/>
    </xf>
    <xf numFmtId="0" fontId="2" fillId="6" borderId="2" xfId="0" applyFont="1" applyFill="1" applyBorder="1" applyAlignment="1">
      <alignment horizontal="left" vertical="top"/>
    </xf>
    <xf numFmtId="164" fontId="2" fillId="0" borderId="2" xfId="2" applyFont="1" applyBorder="1" applyAlignment="1" applyProtection="1">
      <alignment horizontal="left" vertical="top"/>
    </xf>
    <xf numFmtId="49" fontId="2" fillId="0" borderId="2" xfId="0" applyNumberFormat="1" applyFont="1" applyBorder="1" applyAlignment="1">
      <alignment horizontal="left" vertical="top"/>
    </xf>
    <xf numFmtId="49" fontId="2" fillId="5" borderId="2" xfId="0" applyNumberFormat="1" applyFont="1" applyFill="1" applyBorder="1" applyAlignment="1">
      <alignment horizontal="left" vertical="top"/>
    </xf>
    <xf numFmtId="0" fontId="2" fillId="0" borderId="0" xfId="0" applyFont="1" applyAlignment="1">
      <alignment vertical="top"/>
    </xf>
    <xf numFmtId="0" fontId="2" fillId="0" borderId="2" xfId="0" applyFont="1" applyBorder="1" applyAlignment="1">
      <alignment horizontal="left"/>
    </xf>
    <xf numFmtId="165" fontId="2" fillId="0" borderId="2" xfId="0" applyNumberFormat="1" applyFont="1" applyBorder="1" applyAlignment="1">
      <alignment horizontal="left"/>
    </xf>
    <xf numFmtId="49" fontId="2" fillId="0" borderId="2" xfId="0" applyNumberFormat="1" applyFont="1" applyBorder="1" applyAlignment="1">
      <alignment horizontal="left"/>
    </xf>
    <xf numFmtId="49" fontId="2" fillId="5" borderId="2" xfId="0" applyNumberFormat="1" applyFont="1" applyFill="1" applyBorder="1" applyAlignment="1">
      <alignment horizontal="left"/>
    </xf>
    <xf numFmtId="164" fontId="2" fillId="0" borderId="2" xfId="2" applyFont="1" applyBorder="1" applyAlignment="1" applyProtection="1">
      <alignment horizontal="left"/>
    </xf>
    <xf numFmtId="0" fontId="18" fillId="7" borderId="2" xfId="0" applyFont="1" applyFill="1" applyBorder="1" applyAlignment="1">
      <alignment horizontal="center" vertical="center"/>
    </xf>
    <xf numFmtId="165" fontId="18" fillId="7" borderId="2" xfId="0" applyNumberFormat="1" applyFont="1" applyFill="1" applyBorder="1" applyAlignment="1">
      <alignment horizontal="center" vertical="center"/>
    </xf>
    <xf numFmtId="49" fontId="18" fillId="7" borderId="2" xfId="0" applyNumberFormat="1" applyFont="1" applyFill="1" applyBorder="1" applyAlignment="1">
      <alignment horizontal="center" vertical="center"/>
    </xf>
    <xf numFmtId="165" fontId="4" fillId="3" borderId="2" xfId="0" applyNumberFormat="1" applyFont="1" applyFill="1" applyBorder="1" applyAlignment="1">
      <alignment horizontal="left" wrapText="1"/>
    </xf>
    <xf numFmtId="49" fontId="2" fillId="0" borderId="2" xfId="0" applyNumberFormat="1" applyFont="1" applyBorder="1" applyAlignment="1">
      <alignment horizontal="left" vertical="top" wrapText="1"/>
    </xf>
    <xf numFmtId="0" fontId="2" fillId="0" borderId="2" xfId="0" applyFont="1" applyBorder="1" applyAlignment="1">
      <alignment vertical="top"/>
    </xf>
    <xf numFmtId="0" fontId="2" fillId="0" borderId="2" xfId="0" applyFont="1" applyBorder="1"/>
    <xf numFmtId="0" fontId="4" fillId="3" borderId="2" xfId="0" applyFont="1" applyFill="1" applyBorder="1" applyAlignment="1">
      <alignment horizontal="left" wrapText="1"/>
    </xf>
    <xf numFmtId="49" fontId="4" fillId="3" borderId="2" xfId="0" applyNumberFormat="1" applyFont="1" applyFill="1" applyBorder="1" applyAlignment="1">
      <alignment horizontal="left" wrapText="1"/>
    </xf>
    <xf numFmtId="49" fontId="2" fillId="5" borderId="2" xfId="0" applyNumberFormat="1" applyFont="1" applyFill="1" applyBorder="1" applyAlignment="1">
      <alignment horizontal="left" wrapText="1"/>
    </xf>
    <xf numFmtId="49" fontId="2" fillId="0" borderId="2" xfId="0" applyNumberFormat="1" applyFont="1" applyBorder="1" applyAlignment="1">
      <alignment horizontal="center" vertical="top"/>
    </xf>
    <xf numFmtId="0" fontId="4" fillId="3" borderId="2" xfId="0" applyFont="1" applyFill="1" applyBorder="1" applyAlignment="1">
      <alignment horizontal="left" vertical="top" wrapText="1"/>
    </xf>
    <xf numFmtId="0" fontId="2" fillId="5" borderId="2" xfId="0" applyFont="1" applyFill="1" applyBorder="1" applyAlignment="1">
      <alignment horizontal="left" wrapText="1"/>
    </xf>
    <xf numFmtId="0" fontId="2" fillId="0" borderId="2" xfId="0" applyFont="1" applyBorder="1" applyAlignment="1">
      <alignment vertical="top" wrapText="1"/>
    </xf>
    <xf numFmtId="0" fontId="2" fillId="6" borderId="2" xfId="0" applyFont="1" applyFill="1" applyBorder="1" applyAlignment="1">
      <alignment horizontal="left"/>
    </xf>
    <xf numFmtId="49" fontId="2" fillId="6" borderId="2" xfId="0" applyNumberFormat="1" applyFont="1" applyFill="1" applyBorder="1" applyAlignment="1">
      <alignment horizontal="left" wrapText="1"/>
    </xf>
    <xf numFmtId="0" fontId="2" fillId="6" borderId="2" xfId="0" applyFont="1" applyFill="1" applyBorder="1" applyAlignment="1">
      <alignment wrapText="1"/>
    </xf>
    <xf numFmtId="49" fontId="2" fillId="0" borderId="2" xfId="0" applyNumberFormat="1" applyFont="1" applyBorder="1" applyAlignment="1">
      <alignment horizontal="left" wrapText="1"/>
    </xf>
    <xf numFmtId="0" fontId="2" fillId="0" borderId="2" xfId="0" applyFont="1" applyBorder="1" applyAlignment="1">
      <alignment wrapText="1"/>
    </xf>
    <xf numFmtId="164" fontId="4" fillId="3" borderId="2" xfId="2" applyFont="1" applyFill="1" applyBorder="1" applyAlignment="1" applyProtection="1">
      <alignment horizontal="left" wrapText="1"/>
    </xf>
    <xf numFmtId="0" fontId="2" fillId="0" borderId="2" xfId="0" applyFont="1" applyBorder="1" applyAlignment="1">
      <alignment horizontal="left" vertical="top" wrapText="1"/>
    </xf>
    <xf numFmtId="49" fontId="2" fillId="0" borderId="2" xfId="0" applyNumberFormat="1" applyFont="1" applyBorder="1" applyAlignment="1">
      <alignment horizontal="center"/>
    </xf>
    <xf numFmtId="165" fontId="2" fillId="7" borderId="2" xfId="0" applyNumberFormat="1" applyFont="1" applyFill="1" applyBorder="1" applyAlignment="1">
      <alignment horizontal="left" vertical="center" wrapText="1"/>
    </xf>
    <xf numFmtId="49" fontId="2" fillId="7" borderId="2" xfId="0" applyNumberFormat="1" applyFont="1" applyFill="1" applyBorder="1" applyAlignment="1">
      <alignment horizontal="left"/>
    </xf>
    <xf numFmtId="0" fontId="2" fillId="7" borderId="2" xfId="0" applyFont="1" applyFill="1" applyBorder="1" applyAlignment="1">
      <alignment horizontal="left"/>
    </xf>
    <xf numFmtId="164" fontId="2" fillId="7" borderId="2" xfId="2" applyFont="1" applyFill="1" applyBorder="1" applyAlignment="1" applyProtection="1">
      <alignment horizontal="left"/>
    </xf>
    <xf numFmtId="0" fontId="2" fillId="8" borderId="2" xfId="0" applyFont="1" applyFill="1" applyBorder="1"/>
    <xf numFmtId="165" fontId="2" fillId="8" borderId="2" xfId="0" applyNumberFormat="1" applyFont="1" applyFill="1" applyBorder="1"/>
    <xf numFmtId="49" fontId="2" fillId="8" borderId="2" xfId="0" applyNumberFormat="1" applyFont="1" applyFill="1" applyBorder="1" applyAlignment="1">
      <alignment horizontal="center"/>
    </xf>
    <xf numFmtId="0" fontId="20" fillId="0" borderId="0" xfId="1"/>
    <xf numFmtId="0" fontId="20" fillId="0" borderId="0" xfId="1" applyBorder="1" applyProtection="1"/>
    <xf numFmtId="0" fontId="2" fillId="0" borderId="1" xfId="0" applyFont="1" applyBorder="1" applyAlignment="1">
      <alignment horizontal="center" vertical="center"/>
    </xf>
    <xf numFmtId="165" fontId="2" fillId="0" borderId="1" xfId="0" applyNumberFormat="1" applyFont="1" applyBorder="1" applyAlignment="1">
      <alignment horizontal="right" vertical="center" wrapText="1"/>
    </xf>
    <xf numFmtId="0" fontId="0" fillId="0" borderId="0" xfId="0" applyAlignment="1">
      <alignment horizontal="left" vertical="top" wrapText="1"/>
    </xf>
    <xf numFmtId="0" fontId="2" fillId="0" borderId="6" xfId="0" applyFont="1" applyBorder="1" applyAlignment="1">
      <alignment horizontal="center" vertical="center" textRotation="90" wrapText="1"/>
    </xf>
    <xf numFmtId="0" fontId="2" fillId="0" borderId="1" xfId="0" applyFont="1" applyBorder="1" applyAlignment="1">
      <alignment horizontal="center" vertical="center" textRotation="90" wrapText="1"/>
    </xf>
    <xf numFmtId="0" fontId="0" fillId="0" borderId="0" xfId="0" applyAlignment="1">
      <alignment horizontal="left" vertical="center" wrapText="1"/>
    </xf>
    <xf numFmtId="0" fontId="2" fillId="0" borderId="0" xfId="0" applyFont="1" applyAlignment="1">
      <alignment horizontal="center" vertical="center"/>
    </xf>
  </cellXfs>
  <cellStyles count="4">
    <cellStyle name="Comma" xfId="2" builtinId="3"/>
    <cellStyle name="Hyperlink" xfId="1" builtinId="8"/>
    <cellStyle name="Hyperlink 1" xfId="3"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FCC"/>
      <rgbColor rgb="FFE0E0E0"/>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2663"/>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lmatecbci@boostintercept.com" TargetMode="External"/><Relationship Id="rId7" Type="http://schemas.openxmlformats.org/officeDocument/2006/relationships/hyperlink" Target="mailto:13291083@boostb-b.com" TargetMode="External"/><Relationship Id="rId2" Type="http://schemas.openxmlformats.org/officeDocument/2006/relationships/hyperlink" Target="mailto:almatecbci@boostintercept.com" TargetMode="External"/><Relationship Id="rId1" Type="http://schemas.openxmlformats.org/officeDocument/2006/relationships/hyperlink" Target="mailto:13391750@boostb-b.com" TargetMode="External"/><Relationship Id="rId6" Type="http://schemas.openxmlformats.org/officeDocument/2006/relationships/hyperlink" Target="mailto:13507234@boostb-b.com" TargetMode="External"/><Relationship Id="rId5" Type="http://schemas.openxmlformats.org/officeDocument/2006/relationships/hyperlink" Target="mailto:13323628@boostb-b.com" TargetMode="External"/><Relationship Id="rId4" Type="http://schemas.openxmlformats.org/officeDocument/2006/relationships/hyperlink" Target="mailto:13190361@boostb-b.com"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2"/>
  <sheetViews>
    <sheetView tabSelected="1" zoomScaleNormal="100" workbookViewId="0">
      <selection activeCell="C12" sqref="C12"/>
    </sheetView>
  </sheetViews>
  <sheetFormatPr defaultColWidth="7.6328125" defaultRowHeight="15.5"/>
  <cols>
    <col min="1" max="1" width="29.08984375" style="1" customWidth="1"/>
    <col min="2" max="2" width="21.81640625" style="2" customWidth="1"/>
    <col min="3" max="3" width="33.36328125" style="3" customWidth="1"/>
    <col min="4" max="4" width="14.54296875" style="3" customWidth="1"/>
    <col min="5" max="5" width="28.1796875" style="2" customWidth="1"/>
    <col min="6" max="6" width="31" style="2" customWidth="1"/>
    <col min="7" max="7" width="16.26953125" style="4" customWidth="1"/>
    <col min="8" max="8" width="20.1796875" style="4" customWidth="1"/>
    <col min="9" max="9" width="15.7265625" style="5" customWidth="1"/>
    <col min="10" max="10" width="14.54296875" style="2" customWidth="1"/>
    <col min="11" max="11" width="18.81640625" style="6" customWidth="1"/>
    <col min="12" max="12" width="9.1796875" style="3" customWidth="1"/>
    <col min="13" max="13" width="20.453125" style="6" customWidth="1"/>
    <col min="14" max="14" width="22.81640625" style="2" customWidth="1"/>
    <col min="15" max="15" width="8.7265625" style="3" customWidth="1"/>
    <col min="16" max="16" width="18" style="6" customWidth="1"/>
    <col min="17" max="17" width="10.453125" style="5" customWidth="1"/>
    <col min="18" max="18" width="13.453125" style="6" customWidth="1"/>
    <col min="19" max="19" width="8" style="6" customWidth="1"/>
    <col min="20" max="20" width="10.453125" style="5" customWidth="1"/>
    <col min="21" max="21" width="8" style="6" customWidth="1"/>
    <col min="22" max="22" width="10.453125" style="5" customWidth="1"/>
    <col min="23" max="23" width="13.453125" style="2" customWidth="1"/>
    <col min="24" max="24" width="12.6328125" style="6" customWidth="1"/>
    <col min="25" max="25" width="14.26953125" style="1" customWidth="1"/>
    <col min="26" max="26" width="14.54296875" style="5" customWidth="1"/>
    <col min="27" max="27" width="9.26953125" style="6" customWidth="1"/>
    <col min="28" max="28" width="13" style="5" customWidth="1"/>
    <col min="29" max="30" width="14.6328125" style="6" customWidth="1"/>
    <col min="31" max="16384" width="7.6328125" style="2"/>
  </cols>
  <sheetData>
    <row r="1" spans="1:30">
      <c r="G1" s="95" t="s">
        <v>0</v>
      </c>
      <c r="H1" s="95"/>
      <c r="I1" s="7">
        <f>SUM(I3:I9955)</f>
        <v>4605</v>
      </c>
      <c r="X1" s="96" t="s">
        <v>1</v>
      </c>
      <c r="Y1" s="96"/>
      <c r="Z1" s="7">
        <f>SUM(Z3:Z9955)</f>
        <v>4605</v>
      </c>
    </row>
    <row r="2" spans="1:30">
      <c r="I2" s="8"/>
      <c r="Z2" s="8"/>
    </row>
    <row r="3" spans="1:30" s="18" customFormat="1" ht="51.75" customHeight="1">
      <c r="A3" s="9" t="s">
        <v>2</v>
      </c>
      <c r="B3" s="10" t="s">
        <v>3</v>
      </c>
      <c r="C3" s="11" t="s">
        <v>4</v>
      </c>
      <c r="D3" s="11" t="s">
        <v>5</v>
      </c>
      <c r="E3" s="10" t="s">
        <v>6</v>
      </c>
      <c r="F3" s="10" t="s">
        <v>7</v>
      </c>
      <c r="G3" s="10" t="s">
        <v>8</v>
      </c>
      <c r="H3" s="12" t="s">
        <v>9</v>
      </c>
      <c r="I3" s="13" t="s">
        <v>10</v>
      </c>
      <c r="J3" s="14" t="s">
        <v>11</v>
      </c>
      <c r="K3" s="11" t="s">
        <v>12</v>
      </c>
      <c r="L3" s="11" t="s">
        <v>13</v>
      </c>
      <c r="M3" s="11" t="s">
        <v>14</v>
      </c>
      <c r="N3" s="10" t="s">
        <v>15</v>
      </c>
      <c r="O3" s="11" t="s">
        <v>16</v>
      </c>
      <c r="P3" s="11" t="s">
        <v>17</v>
      </c>
      <c r="Q3" s="15" t="s">
        <v>18</v>
      </c>
      <c r="R3" s="11" t="s">
        <v>19</v>
      </c>
      <c r="S3" s="11" t="s">
        <v>20</v>
      </c>
      <c r="T3" s="15" t="s">
        <v>21</v>
      </c>
      <c r="U3" s="11" t="s">
        <v>22</v>
      </c>
      <c r="V3" s="15" t="s">
        <v>23</v>
      </c>
      <c r="W3" s="10" t="s">
        <v>24</v>
      </c>
      <c r="X3" s="11" t="s">
        <v>25</v>
      </c>
      <c r="Y3" s="16" t="s">
        <v>26</v>
      </c>
      <c r="Z3" s="13" t="s">
        <v>27</v>
      </c>
      <c r="AA3" s="17" t="s">
        <v>28</v>
      </c>
      <c r="AB3" s="15" t="s">
        <v>29</v>
      </c>
      <c r="AC3" s="11" t="s">
        <v>30</v>
      </c>
      <c r="AD3" s="11" t="s">
        <v>31</v>
      </c>
    </row>
    <row r="4" spans="1:30" s="28" customFormat="1" ht="16">
      <c r="A4" s="19">
        <f ca="1">TODAY()</f>
        <v>46070</v>
      </c>
      <c r="B4" s="20" t="s">
        <v>32</v>
      </c>
      <c r="C4" s="21" t="s">
        <v>33</v>
      </c>
      <c r="D4" s="22"/>
      <c r="E4" s="23" t="s">
        <v>34</v>
      </c>
      <c r="F4" s="93" t="s">
        <v>35</v>
      </c>
      <c r="G4" s="24" t="s">
        <v>36</v>
      </c>
      <c r="H4" s="25" t="s">
        <v>37</v>
      </c>
      <c r="I4" s="5">
        <v>411</v>
      </c>
      <c r="J4" s="2">
        <v>2612145</v>
      </c>
      <c r="K4" s="26" t="str">
        <f t="shared" ref="K4:K13" si="0">"5199770000000008"</f>
        <v>5199770000000008</v>
      </c>
      <c r="L4" s="3" t="s">
        <v>38</v>
      </c>
      <c r="M4" s="22"/>
      <c r="N4" s="22"/>
      <c r="O4" s="3" t="s">
        <v>39</v>
      </c>
      <c r="P4" s="22"/>
      <c r="Q4" s="22"/>
      <c r="R4" s="22"/>
      <c r="S4" s="22"/>
      <c r="T4" s="22"/>
      <c r="U4" s="22"/>
      <c r="V4" s="22"/>
      <c r="W4" s="27">
        <v>1</v>
      </c>
      <c r="X4" s="6">
        <v>2612145</v>
      </c>
      <c r="Y4" s="22"/>
      <c r="Z4" s="5">
        <v>411</v>
      </c>
      <c r="AA4" s="22"/>
      <c r="AB4" s="22"/>
      <c r="AC4" s="22"/>
      <c r="AD4" s="22"/>
    </row>
    <row r="5" spans="1:30" s="28" customFormat="1" ht="16">
      <c r="A5" s="19">
        <f t="shared" ref="A5:A13" ca="1" si="1">TODAY()</f>
        <v>46070</v>
      </c>
      <c r="B5" s="20" t="s">
        <v>32</v>
      </c>
      <c r="C5" s="21" t="s">
        <v>33</v>
      </c>
      <c r="D5" s="22"/>
      <c r="E5" s="23" t="s">
        <v>34</v>
      </c>
      <c r="F5" s="23" t="s">
        <v>35</v>
      </c>
      <c r="G5" s="24" t="s">
        <v>36</v>
      </c>
      <c r="H5" s="25" t="s">
        <v>40</v>
      </c>
      <c r="I5" s="5">
        <v>422</v>
      </c>
      <c r="J5" s="2">
        <v>2612145</v>
      </c>
      <c r="K5" s="26" t="str">
        <f t="shared" si="0"/>
        <v>5199770000000008</v>
      </c>
      <c r="L5" s="3" t="s">
        <v>38</v>
      </c>
      <c r="M5" s="22"/>
      <c r="N5" s="22"/>
      <c r="O5" s="3" t="s">
        <v>39</v>
      </c>
      <c r="P5" s="22"/>
      <c r="Q5" s="22"/>
      <c r="R5" s="22"/>
      <c r="S5" s="22"/>
      <c r="T5" s="22"/>
      <c r="U5" s="22"/>
      <c r="V5" s="22"/>
      <c r="W5" s="27">
        <v>1</v>
      </c>
      <c r="X5" s="6">
        <v>2612145</v>
      </c>
      <c r="Y5" s="22"/>
      <c r="Z5" s="5">
        <v>422</v>
      </c>
      <c r="AA5" s="22"/>
      <c r="AB5" s="22"/>
      <c r="AC5" s="22"/>
      <c r="AD5" s="22"/>
    </row>
    <row r="6" spans="1:30" s="28" customFormat="1" ht="16">
      <c r="A6" s="19">
        <f t="shared" ca="1" si="1"/>
        <v>46070</v>
      </c>
      <c r="B6" s="20" t="s">
        <v>32</v>
      </c>
      <c r="C6" s="21" t="s">
        <v>33</v>
      </c>
      <c r="D6" s="22"/>
      <c r="E6" s="23" t="s">
        <v>34</v>
      </c>
      <c r="F6" s="23" t="s">
        <v>35</v>
      </c>
      <c r="G6" s="24" t="s">
        <v>36</v>
      </c>
      <c r="H6" s="25" t="s">
        <v>41</v>
      </c>
      <c r="I6" s="5">
        <v>433</v>
      </c>
      <c r="J6" s="2">
        <v>2612145</v>
      </c>
      <c r="K6" s="26" t="str">
        <f t="shared" si="0"/>
        <v>5199770000000008</v>
      </c>
      <c r="L6" s="3" t="s">
        <v>38</v>
      </c>
      <c r="M6" s="22"/>
      <c r="N6" s="22"/>
      <c r="O6" s="3" t="s">
        <v>39</v>
      </c>
      <c r="P6" s="22"/>
      <c r="Q6" s="22"/>
      <c r="R6" s="22"/>
      <c r="S6" s="22"/>
      <c r="T6" s="22"/>
      <c r="U6" s="22"/>
      <c r="V6" s="22"/>
      <c r="W6" s="27">
        <v>1</v>
      </c>
      <c r="X6" s="6">
        <v>2612145</v>
      </c>
      <c r="Y6" s="22"/>
      <c r="Z6" s="5">
        <v>433</v>
      </c>
      <c r="AA6" s="22"/>
      <c r="AB6" s="22"/>
      <c r="AC6" s="22"/>
      <c r="AD6" s="22"/>
    </row>
    <row r="7" spans="1:30" s="28" customFormat="1" ht="16">
      <c r="A7" s="19">
        <f t="shared" ca="1" si="1"/>
        <v>46070</v>
      </c>
      <c r="B7" s="20" t="s">
        <v>32</v>
      </c>
      <c r="C7" s="21" t="s">
        <v>42</v>
      </c>
      <c r="D7" s="22"/>
      <c r="E7" s="23" t="s">
        <v>43</v>
      </c>
      <c r="F7" s="94" t="s">
        <v>44</v>
      </c>
      <c r="G7" s="24" t="s">
        <v>45</v>
      </c>
      <c r="H7" s="25" t="s">
        <v>46</v>
      </c>
      <c r="I7" s="5">
        <v>444</v>
      </c>
      <c r="J7" s="2">
        <v>2612145</v>
      </c>
      <c r="K7" s="26" t="str">
        <f t="shared" si="0"/>
        <v>5199770000000008</v>
      </c>
      <c r="L7" s="3" t="s">
        <v>38</v>
      </c>
      <c r="M7" s="22"/>
      <c r="N7" s="22"/>
      <c r="O7" s="3" t="s">
        <v>39</v>
      </c>
      <c r="P7" s="22"/>
      <c r="Q7" s="22"/>
      <c r="R7" s="22"/>
      <c r="S7" s="22"/>
      <c r="T7" s="22"/>
      <c r="U7" s="22"/>
      <c r="V7" s="22"/>
      <c r="W7" s="27">
        <v>1</v>
      </c>
      <c r="X7" s="6">
        <v>2612145</v>
      </c>
      <c r="Y7" s="22"/>
      <c r="Z7" s="5">
        <v>444</v>
      </c>
      <c r="AA7" s="22"/>
      <c r="AB7" s="22"/>
      <c r="AC7" s="22"/>
      <c r="AD7" s="22"/>
    </row>
    <row r="8" spans="1:30" s="28" customFormat="1" ht="16">
      <c r="A8" s="19">
        <f t="shared" ca="1" si="1"/>
        <v>46070</v>
      </c>
      <c r="B8" s="20" t="s">
        <v>32</v>
      </c>
      <c r="C8" s="21" t="s">
        <v>47</v>
      </c>
      <c r="D8" s="22"/>
      <c r="E8" s="23" t="s">
        <v>48</v>
      </c>
      <c r="F8" s="94" t="s">
        <v>49</v>
      </c>
      <c r="G8" s="24" t="s">
        <v>50</v>
      </c>
      <c r="H8" s="25" t="s">
        <v>40</v>
      </c>
      <c r="I8" s="5">
        <v>455</v>
      </c>
      <c r="J8" s="2">
        <v>2612145</v>
      </c>
      <c r="K8" s="26" t="str">
        <f t="shared" si="0"/>
        <v>5199770000000008</v>
      </c>
      <c r="L8" s="3" t="s">
        <v>38</v>
      </c>
      <c r="M8" s="22"/>
      <c r="N8" s="22"/>
      <c r="O8" s="3" t="s">
        <v>39</v>
      </c>
      <c r="P8" s="22"/>
      <c r="Q8" s="22"/>
      <c r="R8" s="22"/>
      <c r="S8" s="22"/>
      <c r="T8" s="22"/>
      <c r="U8" s="22"/>
      <c r="V8" s="22"/>
      <c r="W8" s="27">
        <v>1</v>
      </c>
      <c r="X8" s="6">
        <v>2612145</v>
      </c>
      <c r="Y8" s="22"/>
      <c r="Z8" s="5">
        <v>455</v>
      </c>
      <c r="AA8" s="22"/>
      <c r="AB8" s="22"/>
      <c r="AC8" s="22"/>
      <c r="AD8" s="22"/>
    </row>
    <row r="9" spans="1:30" s="28" customFormat="1" ht="16">
      <c r="A9" s="19">
        <f t="shared" ca="1" si="1"/>
        <v>46070</v>
      </c>
      <c r="B9" s="20" t="s">
        <v>32</v>
      </c>
      <c r="C9" s="21" t="s">
        <v>47</v>
      </c>
      <c r="D9" s="22"/>
      <c r="E9" s="23" t="s">
        <v>48</v>
      </c>
      <c r="F9" s="29" t="s">
        <v>49</v>
      </c>
      <c r="G9" s="24" t="s">
        <v>50</v>
      </c>
      <c r="H9" s="25" t="s">
        <v>41</v>
      </c>
      <c r="I9" s="5">
        <v>466</v>
      </c>
      <c r="J9" s="2">
        <v>2612145</v>
      </c>
      <c r="K9" s="26" t="str">
        <f t="shared" si="0"/>
        <v>5199770000000008</v>
      </c>
      <c r="L9" s="3" t="s">
        <v>38</v>
      </c>
      <c r="M9" s="22"/>
      <c r="N9" s="22"/>
      <c r="O9" s="3" t="s">
        <v>39</v>
      </c>
      <c r="P9" s="22"/>
      <c r="Q9" s="22"/>
      <c r="R9" s="22"/>
      <c r="S9" s="22"/>
      <c r="T9" s="22"/>
      <c r="U9" s="22"/>
      <c r="V9" s="22"/>
      <c r="W9" s="27">
        <v>1</v>
      </c>
      <c r="X9" s="6">
        <v>2612145</v>
      </c>
      <c r="Y9" s="22"/>
      <c r="Z9" s="5">
        <v>466</v>
      </c>
      <c r="AA9" s="22"/>
      <c r="AB9" s="22"/>
      <c r="AC9" s="22"/>
      <c r="AD9" s="22"/>
    </row>
    <row r="10" spans="1:30" s="28" customFormat="1" ht="16">
      <c r="A10" s="19">
        <f t="shared" ca="1" si="1"/>
        <v>46070</v>
      </c>
      <c r="B10" s="20" t="s">
        <v>32</v>
      </c>
      <c r="C10" s="21" t="s">
        <v>51</v>
      </c>
      <c r="D10" s="22"/>
      <c r="E10" s="30" t="s">
        <v>52</v>
      </c>
      <c r="F10" s="93" t="s">
        <v>53</v>
      </c>
      <c r="G10" s="24" t="s">
        <v>54</v>
      </c>
      <c r="H10" s="25" t="s">
        <v>40</v>
      </c>
      <c r="I10" s="5">
        <v>477</v>
      </c>
      <c r="J10" s="2">
        <v>2612145</v>
      </c>
      <c r="K10" s="26" t="str">
        <f t="shared" si="0"/>
        <v>5199770000000008</v>
      </c>
      <c r="L10" s="3" t="s">
        <v>38</v>
      </c>
      <c r="M10" s="22"/>
      <c r="N10" s="22"/>
      <c r="O10" s="3" t="s">
        <v>39</v>
      </c>
      <c r="P10" s="22"/>
      <c r="Q10" s="22"/>
      <c r="R10" s="22"/>
      <c r="S10" s="22"/>
      <c r="T10" s="22"/>
      <c r="U10" s="22"/>
      <c r="V10" s="22"/>
      <c r="W10" s="27">
        <v>1</v>
      </c>
      <c r="X10" s="6">
        <v>2612145</v>
      </c>
      <c r="Y10" s="22"/>
      <c r="Z10" s="5">
        <v>477</v>
      </c>
      <c r="AA10" s="22"/>
      <c r="AB10" s="22"/>
      <c r="AC10" s="22"/>
      <c r="AD10" s="22"/>
    </row>
    <row r="11" spans="1:30" s="28" customFormat="1" ht="16">
      <c r="A11" s="19">
        <f t="shared" ca="1" si="1"/>
        <v>46070</v>
      </c>
      <c r="B11" s="20" t="s">
        <v>32</v>
      </c>
      <c r="C11" s="21" t="s">
        <v>55</v>
      </c>
      <c r="D11" s="22"/>
      <c r="E11" s="23" t="s">
        <v>56</v>
      </c>
      <c r="F11" s="93" t="s">
        <v>57</v>
      </c>
      <c r="G11" s="24" t="s">
        <v>54</v>
      </c>
      <c r="H11" s="25" t="s">
        <v>41</v>
      </c>
      <c r="I11" s="5">
        <v>488</v>
      </c>
      <c r="J11" s="2">
        <v>2612145</v>
      </c>
      <c r="K11" s="26" t="str">
        <f t="shared" si="0"/>
        <v>5199770000000008</v>
      </c>
      <c r="L11" s="3" t="s">
        <v>38</v>
      </c>
      <c r="M11" s="22"/>
      <c r="N11" s="22"/>
      <c r="O11" s="3" t="s">
        <v>39</v>
      </c>
      <c r="P11" s="22"/>
      <c r="Q11" s="22"/>
      <c r="R11" s="22"/>
      <c r="S11" s="22"/>
      <c r="T11" s="22"/>
      <c r="U11" s="22"/>
      <c r="V11" s="22"/>
      <c r="W11" s="27">
        <v>1</v>
      </c>
      <c r="X11" s="6">
        <v>2612145</v>
      </c>
      <c r="Y11" s="22"/>
      <c r="Z11" s="5">
        <v>488</v>
      </c>
      <c r="AA11" s="22"/>
      <c r="AB11" s="22"/>
      <c r="AC11" s="22"/>
      <c r="AD11" s="22"/>
    </row>
    <row r="12" spans="1:30" s="28" customFormat="1" ht="16">
      <c r="A12" s="19">
        <f t="shared" ca="1" si="1"/>
        <v>46070</v>
      </c>
      <c r="B12" s="20" t="s">
        <v>32</v>
      </c>
      <c r="C12" s="21" t="s">
        <v>58</v>
      </c>
      <c r="D12" s="22"/>
      <c r="E12" s="23" t="s">
        <v>59</v>
      </c>
      <c r="F12" s="93" t="s">
        <v>60</v>
      </c>
      <c r="G12" s="25" t="s">
        <v>61</v>
      </c>
      <c r="H12" s="25" t="s">
        <v>40</v>
      </c>
      <c r="I12" s="5">
        <v>499</v>
      </c>
      <c r="J12" s="2">
        <v>2612145</v>
      </c>
      <c r="K12" s="26" t="str">
        <f t="shared" si="0"/>
        <v>5199770000000008</v>
      </c>
      <c r="L12" s="3" t="s">
        <v>38</v>
      </c>
      <c r="M12" s="22"/>
      <c r="N12" s="22"/>
      <c r="O12" s="3" t="s">
        <v>39</v>
      </c>
      <c r="P12" s="22"/>
      <c r="Q12" s="22"/>
      <c r="R12" s="22"/>
      <c r="S12" s="22"/>
      <c r="T12" s="22"/>
      <c r="U12" s="22"/>
      <c r="V12" s="22"/>
      <c r="W12" s="27">
        <v>1</v>
      </c>
      <c r="X12" s="6">
        <v>2612145</v>
      </c>
      <c r="Y12" s="22"/>
      <c r="Z12" s="5">
        <v>499</v>
      </c>
      <c r="AA12" s="22"/>
      <c r="AB12" s="22" t="s">
        <v>437</v>
      </c>
      <c r="AC12" s="22"/>
      <c r="AD12" s="22"/>
    </row>
    <row r="13" spans="1:30" s="28" customFormat="1" ht="16">
      <c r="A13" s="19">
        <f t="shared" ca="1" si="1"/>
        <v>46070</v>
      </c>
      <c r="B13" s="20" t="s">
        <v>32</v>
      </c>
      <c r="C13" s="21" t="s">
        <v>58</v>
      </c>
      <c r="D13" s="22"/>
      <c r="E13" s="23" t="s">
        <v>59</v>
      </c>
      <c r="F13" s="23" t="s">
        <v>60</v>
      </c>
      <c r="G13" s="25" t="s">
        <v>61</v>
      </c>
      <c r="H13" s="31" t="s">
        <v>41</v>
      </c>
      <c r="I13" s="5">
        <v>510</v>
      </c>
      <c r="J13" s="2">
        <v>2612145</v>
      </c>
      <c r="K13" s="26" t="str">
        <f t="shared" si="0"/>
        <v>5199770000000008</v>
      </c>
      <c r="L13" s="3" t="s">
        <v>38</v>
      </c>
      <c r="M13" s="22"/>
      <c r="N13" s="22"/>
      <c r="O13" s="3" t="s">
        <v>39</v>
      </c>
      <c r="P13" s="22"/>
      <c r="Q13" s="22"/>
      <c r="R13" s="22"/>
      <c r="S13" s="22"/>
      <c r="T13" s="22"/>
      <c r="U13" s="22"/>
      <c r="V13" s="22"/>
      <c r="W13" s="27">
        <v>1</v>
      </c>
      <c r="X13" s="6">
        <v>2612145</v>
      </c>
      <c r="Y13" s="22"/>
      <c r="Z13" s="5">
        <v>510</v>
      </c>
      <c r="AA13" s="22"/>
      <c r="AB13" s="22"/>
      <c r="AC13" s="22"/>
      <c r="AD13" s="22"/>
    </row>
    <row r="14" spans="1:30" s="28" customFormat="1">
      <c r="A14" s="1"/>
      <c r="B14" s="31"/>
      <c r="C14" s="31"/>
      <c r="D14" s="22"/>
      <c r="E14" s="22"/>
      <c r="F14" s="31"/>
      <c r="G14" s="31"/>
      <c r="H14" s="31"/>
      <c r="I14" s="5"/>
      <c r="J14" s="27"/>
      <c r="K14" s="26"/>
      <c r="L14" s="3"/>
      <c r="M14" s="22"/>
      <c r="N14" s="22"/>
      <c r="O14" s="3"/>
      <c r="P14" s="22"/>
      <c r="Q14" s="22"/>
      <c r="R14" s="22"/>
      <c r="S14" s="22"/>
      <c r="T14" s="22"/>
      <c r="U14" s="22"/>
      <c r="V14" s="22"/>
      <c r="W14" s="27"/>
      <c r="X14" s="27"/>
      <c r="Y14" s="22"/>
      <c r="Z14" s="5"/>
      <c r="AA14" s="22"/>
      <c r="AB14" s="22"/>
      <c r="AC14" s="22"/>
      <c r="AD14" s="22"/>
    </row>
    <row r="15" spans="1:30" s="28" customFormat="1" ht="29.9" customHeight="1">
      <c r="A15" s="1"/>
      <c r="B15" s="31"/>
      <c r="C15" s="31"/>
      <c r="D15" s="22"/>
      <c r="E15" s="32"/>
      <c r="F15" s="32"/>
      <c r="G15" s="32"/>
      <c r="H15" s="32"/>
      <c r="I15" s="5"/>
      <c r="J15" s="27"/>
      <c r="K15" s="26"/>
      <c r="L15" s="3"/>
      <c r="M15" s="22"/>
      <c r="N15" s="22"/>
      <c r="O15" s="3"/>
      <c r="P15" s="22"/>
      <c r="Q15" s="22"/>
      <c r="R15" s="22"/>
      <c r="S15" s="22"/>
      <c r="T15" s="22"/>
      <c r="U15" s="22"/>
      <c r="V15" s="22"/>
      <c r="W15" s="27"/>
      <c r="X15" s="27"/>
      <c r="Y15" s="22"/>
      <c r="Z15" s="5"/>
      <c r="AA15" s="22"/>
      <c r="AB15" s="22"/>
      <c r="AC15" s="22"/>
      <c r="AD15" s="22"/>
    </row>
    <row r="16" spans="1:30" s="28" customFormat="1">
      <c r="A16" s="1"/>
      <c r="B16" s="31"/>
      <c r="C16" s="31"/>
      <c r="D16" s="22"/>
      <c r="E16" s="31"/>
      <c r="F16" s="33"/>
      <c r="G16" s="31"/>
      <c r="H16" s="31"/>
      <c r="I16" s="5"/>
      <c r="J16" s="27"/>
      <c r="K16" s="26"/>
      <c r="L16" s="3"/>
      <c r="M16" s="22"/>
      <c r="N16" s="22"/>
      <c r="O16" s="3"/>
      <c r="P16" s="22"/>
      <c r="Q16" s="22"/>
      <c r="R16" s="22"/>
      <c r="S16" s="22"/>
      <c r="T16" s="22"/>
      <c r="U16" s="22"/>
      <c r="V16" s="22"/>
      <c r="W16" s="27"/>
      <c r="X16" s="27"/>
      <c r="Y16" s="22"/>
      <c r="Z16" s="5"/>
      <c r="AA16" s="22"/>
      <c r="AB16" s="22"/>
      <c r="AC16" s="22"/>
      <c r="AD16" s="22"/>
    </row>
    <row r="17" spans="1:30" s="28" customFormat="1">
      <c r="A17" s="1"/>
      <c r="B17" s="31"/>
      <c r="C17" s="31"/>
      <c r="D17" s="22"/>
      <c r="E17" s="31"/>
      <c r="F17" s="31"/>
      <c r="G17" s="31"/>
      <c r="H17" s="31"/>
      <c r="I17" s="5"/>
      <c r="J17" s="27"/>
      <c r="K17" s="26"/>
      <c r="L17" s="3"/>
      <c r="M17" s="22"/>
      <c r="N17" s="22"/>
      <c r="O17" s="3"/>
      <c r="P17" s="22"/>
      <c r="Q17" s="22"/>
      <c r="R17" s="22"/>
      <c r="S17" s="22"/>
      <c r="T17" s="22"/>
      <c r="U17" s="22"/>
      <c r="V17" s="22"/>
      <c r="W17" s="27"/>
      <c r="X17" s="27"/>
      <c r="Y17" s="22"/>
      <c r="Z17" s="5"/>
      <c r="AA17" s="22"/>
      <c r="AB17" s="22"/>
      <c r="AC17" s="22"/>
      <c r="AD17" s="22"/>
    </row>
    <row r="18" spans="1:30" s="28" customFormat="1">
      <c r="A18" s="1"/>
      <c r="B18" s="31"/>
      <c r="C18" s="31"/>
      <c r="D18" s="22"/>
      <c r="E18" s="32"/>
      <c r="F18" s="32"/>
      <c r="G18" s="32"/>
      <c r="H18" s="31"/>
      <c r="I18" s="5"/>
      <c r="J18" s="27"/>
      <c r="K18" s="26"/>
      <c r="L18" s="3"/>
      <c r="M18" s="22"/>
      <c r="N18" s="22"/>
      <c r="O18" s="3"/>
      <c r="P18" s="22"/>
      <c r="Q18" s="22"/>
      <c r="R18" s="22"/>
      <c r="S18" s="22"/>
      <c r="T18" s="22"/>
      <c r="U18" s="22"/>
      <c r="V18" s="22"/>
      <c r="W18" s="27"/>
      <c r="X18" s="27"/>
      <c r="Y18" s="22"/>
      <c r="Z18" s="5"/>
      <c r="AA18" s="22"/>
      <c r="AB18" s="22"/>
      <c r="AC18" s="22"/>
      <c r="AD18" s="22"/>
    </row>
    <row r="19" spans="1:30" s="28" customFormat="1">
      <c r="A19" s="1"/>
      <c r="B19" s="31"/>
      <c r="C19" s="31"/>
      <c r="D19" s="22"/>
      <c r="E19" s="32"/>
      <c r="F19" s="32"/>
      <c r="G19" s="32"/>
      <c r="H19" s="31"/>
      <c r="I19" s="5"/>
      <c r="J19" s="27"/>
      <c r="K19" s="26"/>
      <c r="L19" s="3"/>
      <c r="M19" s="22"/>
      <c r="N19" s="22"/>
      <c r="O19" s="3"/>
      <c r="P19" s="22"/>
      <c r="Q19" s="22"/>
      <c r="R19" s="22"/>
      <c r="S19" s="22"/>
      <c r="T19" s="22"/>
      <c r="U19" s="22"/>
      <c r="V19" s="22"/>
      <c r="W19" s="27"/>
      <c r="X19" s="27"/>
      <c r="Y19" s="22"/>
      <c r="Z19" s="5"/>
      <c r="AA19" s="22"/>
      <c r="AB19" s="22"/>
      <c r="AC19" s="22"/>
      <c r="AD19" s="22"/>
    </row>
    <row r="20" spans="1:30" s="28" customFormat="1">
      <c r="A20" s="1"/>
      <c r="B20" s="31"/>
      <c r="C20" s="31"/>
      <c r="D20" s="22"/>
      <c r="E20" s="32"/>
      <c r="F20" s="32"/>
      <c r="G20" s="32"/>
      <c r="H20" s="31"/>
      <c r="I20" s="5"/>
      <c r="J20" s="27"/>
      <c r="K20" s="26"/>
      <c r="L20" s="3"/>
      <c r="M20" s="22"/>
      <c r="N20" s="22"/>
      <c r="O20" s="3"/>
      <c r="P20" s="22"/>
      <c r="Q20" s="22"/>
      <c r="R20" s="22"/>
      <c r="S20" s="22"/>
      <c r="T20" s="22"/>
      <c r="U20" s="22"/>
      <c r="V20" s="22"/>
      <c r="W20" s="27"/>
      <c r="X20" s="27"/>
      <c r="Y20" s="22"/>
      <c r="Z20" s="5"/>
      <c r="AA20" s="22"/>
      <c r="AB20" s="22"/>
      <c r="AC20" s="22"/>
      <c r="AD20" s="22"/>
    </row>
    <row r="21" spans="1:30" s="28" customFormat="1">
      <c r="A21" s="1"/>
      <c r="B21" s="31"/>
      <c r="C21" s="31"/>
      <c r="D21" s="22"/>
      <c r="E21" s="32"/>
      <c r="F21" s="32"/>
      <c r="G21" s="32"/>
      <c r="H21" s="31"/>
      <c r="I21" s="5"/>
      <c r="J21" s="27"/>
      <c r="K21" s="26"/>
      <c r="L21" s="3"/>
      <c r="M21" s="22"/>
      <c r="N21" s="22"/>
      <c r="O21" s="3"/>
      <c r="P21" s="22"/>
      <c r="Q21" s="22"/>
      <c r="R21" s="22"/>
      <c r="S21" s="22"/>
      <c r="T21" s="22"/>
      <c r="U21" s="22"/>
      <c r="V21" s="22"/>
      <c r="W21" s="27"/>
      <c r="X21" s="27"/>
      <c r="Y21" s="22"/>
      <c r="Z21" s="5"/>
      <c r="AA21" s="22"/>
      <c r="AB21" s="22"/>
      <c r="AC21" s="22"/>
      <c r="AD21" s="22"/>
    </row>
    <row r="22" spans="1:30" s="28" customFormat="1">
      <c r="A22" s="1"/>
      <c r="B22" s="31"/>
      <c r="C22" s="31"/>
      <c r="D22" s="22"/>
      <c r="E22" s="31"/>
      <c r="F22" s="31"/>
      <c r="G22" s="34"/>
      <c r="H22" s="31"/>
      <c r="I22" s="5"/>
      <c r="J22" s="27"/>
      <c r="K22" s="26"/>
      <c r="L22" s="3"/>
      <c r="M22" s="22"/>
      <c r="N22" s="22"/>
      <c r="O22" s="3"/>
      <c r="P22" s="22"/>
      <c r="Q22" s="22"/>
      <c r="R22" s="22"/>
      <c r="S22" s="22"/>
      <c r="T22" s="22"/>
      <c r="U22" s="22"/>
      <c r="V22" s="22"/>
      <c r="W22" s="27"/>
      <c r="X22" s="27"/>
      <c r="Y22" s="22"/>
      <c r="Z22" s="5"/>
      <c r="AA22" s="22"/>
      <c r="AB22" s="22"/>
      <c r="AC22" s="22"/>
      <c r="AD22" s="22"/>
    </row>
    <row r="23" spans="1:30" s="28" customFormat="1">
      <c r="A23" s="1"/>
      <c r="B23" s="31"/>
      <c r="C23" s="31"/>
      <c r="D23" s="22"/>
      <c r="E23" s="31"/>
      <c r="F23" s="31"/>
      <c r="G23" s="34"/>
      <c r="H23" s="31"/>
      <c r="I23" s="5"/>
      <c r="J23" s="27"/>
      <c r="K23" s="26"/>
      <c r="L23" s="3"/>
      <c r="M23" s="22"/>
      <c r="N23" s="22"/>
      <c r="O23" s="3"/>
      <c r="P23" s="22"/>
      <c r="Q23" s="22"/>
      <c r="R23" s="22"/>
      <c r="S23" s="22"/>
      <c r="T23" s="22"/>
      <c r="U23" s="22"/>
      <c r="V23" s="22"/>
      <c r="W23" s="27"/>
      <c r="X23" s="27"/>
      <c r="Y23" s="22"/>
      <c r="Z23" s="5"/>
      <c r="AA23" s="22"/>
      <c r="AB23" s="22"/>
      <c r="AC23" s="22"/>
      <c r="AD23" s="22"/>
    </row>
    <row r="24" spans="1:30" s="28" customFormat="1">
      <c r="A24" s="1"/>
      <c r="B24" s="31"/>
      <c r="C24" s="31"/>
      <c r="D24" s="22"/>
      <c r="E24" s="31"/>
      <c r="F24" s="31"/>
      <c r="G24" s="31"/>
      <c r="H24" s="31"/>
      <c r="I24" s="5"/>
      <c r="J24" s="27"/>
      <c r="K24" s="26"/>
      <c r="L24" s="3"/>
      <c r="M24" s="22"/>
      <c r="N24" s="22"/>
      <c r="O24" s="3"/>
      <c r="P24" s="22"/>
      <c r="Q24" s="22"/>
      <c r="R24" s="22"/>
      <c r="S24" s="22"/>
      <c r="T24" s="22"/>
      <c r="U24" s="22"/>
      <c r="V24" s="22"/>
      <c r="W24" s="27"/>
      <c r="X24" s="27"/>
      <c r="Y24" s="22"/>
      <c r="Z24" s="5"/>
      <c r="AA24" s="22"/>
      <c r="AB24" s="22"/>
      <c r="AC24" s="22"/>
      <c r="AD24" s="22"/>
    </row>
    <row r="25" spans="1:30" s="28" customFormat="1">
      <c r="A25" s="1"/>
      <c r="B25" s="31"/>
      <c r="C25" s="31"/>
      <c r="D25" s="22"/>
      <c r="E25" s="31"/>
      <c r="F25" s="31"/>
      <c r="G25" s="31"/>
      <c r="H25" s="31"/>
      <c r="I25" s="5"/>
      <c r="J25" s="27"/>
      <c r="K25" s="26"/>
      <c r="L25" s="3"/>
      <c r="M25" s="22"/>
      <c r="N25" s="22"/>
      <c r="O25" s="3"/>
      <c r="P25" s="22"/>
      <c r="Q25" s="22"/>
      <c r="R25" s="22"/>
      <c r="S25" s="22"/>
      <c r="T25" s="22"/>
      <c r="U25" s="22"/>
      <c r="V25" s="22"/>
      <c r="W25" s="27"/>
      <c r="X25" s="27"/>
      <c r="Y25" s="22"/>
      <c r="Z25" s="5"/>
      <c r="AA25" s="22"/>
      <c r="AB25" s="22"/>
      <c r="AC25" s="22"/>
      <c r="AD25" s="22"/>
    </row>
    <row r="26" spans="1:30" s="28" customFormat="1">
      <c r="A26" s="1"/>
      <c r="B26" s="31"/>
      <c r="C26" s="31"/>
      <c r="D26" s="22"/>
      <c r="E26" s="31"/>
      <c r="F26" s="31"/>
      <c r="G26" s="34"/>
      <c r="H26" s="31"/>
      <c r="I26" s="5"/>
      <c r="J26" s="27"/>
      <c r="K26" s="26"/>
      <c r="L26" s="3"/>
      <c r="M26" s="22"/>
      <c r="N26" s="22"/>
      <c r="O26" s="3"/>
      <c r="P26" s="22"/>
      <c r="Q26" s="22"/>
      <c r="R26" s="22"/>
      <c r="S26" s="22"/>
      <c r="T26" s="22"/>
      <c r="U26" s="22"/>
      <c r="V26" s="22"/>
      <c r="W26" s="27"/>
      <c r="X26" s="27"/>
      <c r="Y26" s="22"/>
      <c r="Z26" s="5"/>
      <c r="AA26" s="22"/>
      <c r="AB26" s="22"/>
      <c r="AC26" s="22"/>
      <c r="AD26" s="22"/>
    </row>
    <row r="27" spans="1:30" s="28" customFormat="1">
      <c r="A27" s="1"/>
      <c r="B27" s="31"/>
      <c r="C27" s="31"/>
      <c r="D27" s="22"/>
      <c r="E27" s="31"/>
      <c r="F27" s="31"/>
      <c r="G27" s="34"/>
      <c r="H27" s="31"/>
      <c r="I27" s="5"/>
      <c r="J27" s="27"/>
      <c r="K27" s="26"/>
      <c r="L27" s="3"/>
      <c r="M27" s="22"/>
      <c r="N27" s="22"/>
      <c r="O27" s="3"/>
      <c r="P27" s="22"/>
      <c r="Q27" s="22"/>
      <c r="R27" s="22"/>
      <c r="S27" s="22"/>
      <c r="T27" s="22"/>
      <c r="U27" s="22"/>
      <c r="V27" s="22"/>
      <c r="W27" s="27"/>
      <c r="X27" s="27"/>
      <c r="Y27" s="22"/>
      <c r="Z27" s="5"/>
      <c r="AA27" s="22"/>
      <c r="AB27" s="22"/>
      <c r="AC27" s="22"/>
      <c r="AD27" s="22"/>
    </row>
    <row r="28" spans="1:30" s="28" customFormat="1">
      <c r="A28" s="1"/>
      <c r="B28" s="31"/>
      <c r="C28" s="31"/>
      <c r="D28" s="22"/>
      <c r="E28" s="31"/>
      <c r="F28" s="31"/>
      <c r="G28" s="34"/>
      <c r="H28" s="31"/>
      <c r="I28" s="5"/>
      <c r="J28" s="27"/>
      <c r="K28" s="26"/>
      <c r="L28" s="3"/>
      <c r="M28" s="22"/>
      <c r="N28" s="22"/>
      <c r="O28" s="3"/>
      <c r="P28" s="22"/>
      <c r="Q28" s="22"/>
      <c r="R28" s="22"/>
      <c r="S28" s="22"/>
      <c r="T28" s="22"/>
      <c r="U28" s="22"/>
      <c r="V28" s="22"/>
      <c r="W28" s="27"/>
      <c r="X28" s="27"/>
      <c r="Y28" s="22"/>
      <c r="Z28" s="5"/>
      <c r="AA28" s="22"/>
      <c r="AB28" s="22"/>
      <c r="AC28" s="22"/>
      <c r="AD28" s="22"/>
    </row>
    <row r="29" spans="1:30" s="28" customFormat="1">
      <c r="A29" s="1"/>
      <c r="B29" s="31"/>
      <c r="C29" s="31"/>
      <c r="D29" s="22"/>
      <c r="E29" s="31"/>
      <c r="F29" s="31"/>
      <c r="G29" s="34"/>
      <c r="H29" s="31"/>
      <c r="I29" s="5"/>
      <c r="J29" s="27"/>
      <c r="K29" s="26"/>
      <c r="L29" s="3"/>
      <c r="M29" s="22"/>
      <c r="N29" s="22"/>
      <c r="O29" s="3"/>
      <c r="P29" s="22"/>
      <c r="Q29" s="22"/>
      <c r="R29" s="22"/>
      <c r="S29" s="22"/>
      <c r="T29" s="22"/>
      <c r="U29" s="22"/>
      <c r="V29" s="22"/>
      <c r="W29" s="27"/>
      <c r="X29" s="27"/>
      <c r="Y29" s="22"/>
      <c r="Z29" s="5"/>
      <c r="AA29" s="22"/>
      <c r="AB29" s="22"/>
      <c r="AC29" s="22"/>
      <c r="AD29" s="22"/>
    </row>
    <row r="30" spans="1:30" s="28" customFormat="1">
      <c r="A30" s="1"/>
      <c r="B30" s="31"/>
      <c r="C30" s="31"/>
      <c r="D30" s="22"/>
      <c r="E30" s="31"/>
      <c r="F30" s="31"/>
      <c r="G30" s="31"/>
      <c r="H30" s="31"/>
      <c r="I30" s="5"/>
      <c r="J30" s="27"/>
      <c r="K30" s="26"/>
      <c r="L30" s="3"/>
      <c r="M30" s="22"/>
      <c r="N30" s="22"/>
      <c r="O30" s="3"/>
      <c r="P30" s="22"/>
      <c r="Q30" s="22"/>
      <c r="R30" s="22"/>
      <c r="S30" s="22"/>
      <c r="T30" s="22"/>
      <c r="U30" s="22"/>
      <c r="V30" s="22"/>
      <c r="W30" s="27"/>
      <c r="X30" s="27"/>
      <c r="Y30" s="22"/>
      <c r="Z30" s="5"/>
      <c r="AA30" s="22"/>
      <c r="AB30" s="22"/>
      <c r="AC30" s="22"/>
      <c r="AD30" s="22"/>
    </row>
    <row r="31" spans="1:30" s="28" customFormat="1">
      <c r="A31" s="1"/>
      <c r="B31" s="31"/>
      <c r="C31" s="31"/>
      <c r="D31" s="22"/>
      <c r="E31" s="31"/>
      <c r="F31" s="31"/>
      <c r="G31" s="31"/>
      <c r="H31" s="31"/>
      <c r="I31" s="5"/>
      <c r="J31" s="27"/>
      <c r="K31" s="26"/>
      <c r="L31" s="3"/>
      <c r="M31" s="22"/>
      <c r="N31" s="22"/>
      <c r="O31" s="3"/>
      <c r="P31" s="22"/>
      <c r="Q31" s="22"/>
      <c r="R31" s="22"/>
      <c r="S31" s="22"/>
      <c r="T31" s="22"/>
      <c r="U31" s="22"/>
      <c r="V31" s="22"/>
      <c r="W31" s="27"/>
      <c r="X31" s="27"/>
      <c r="Y31" s="22"/>
      <c r="Z31" s="5"/>
      <c r="AA31" s="22"/>
      <c r="AB31" s="22"/>
      <c r="AC31" s="22"/>
      <c r="AD31" s="22"/>
    </row>
    <row r="32" spans="1:30">
      <c r="B32" s="20"/>
      <c r="C32" s="20"/>
      <c r="E32" s="35"/>
      <c r="F32" s="36"/>
      <c r="K32" s="37"/>
      <c r="N32" s="20"/>
      <c r="P32" s="20"/>
    </row>
  </sheetData>
  <mergeCells count="2">
    <mergeCell ref="G1:H1"/>
    <mergeCell ref="X1:Y1"/>
  </mergeCells>
  <hyperlinks>
    <hyperlink ref="F7" r:id="rId1" xr:uid="{00000000-0004-0000-0000-000000000000}"/>
    <hyperlink ref="F8" r:id="rId2" xr:uid="{00000000-0004-0000-0000-000001000000}"/>
    <hyperlink ref="F9" r:id="rId3" xr:uid="{00000000-0004-0000-0000-000002000000}"/>
    <hyperlink ref="F4" r:id="rId4" xr:uid="{1EE30E69-B28F-417F-88A8-C04C771D4CD6}"/>
    <hyperlink ref="F10" r:id="rId5" xr:uid="{93A152FC-D5E7-4FDD-A803-0C6B28A77B6E}"/>
    <hyperlink ref="F11" r:id="rId6" xr:uid="{F8878B4E-8985-44FB-A8DE-6C4BF8E11BE9}"/>
    <hyperlink ref="F12" r:id="rId7" xr:uid="{E691A757-4A55-4C57-B0B4-8DCC77602D44}"/>
  </hyperlinks>
  <pageMargins left="0.7" right="0.7" top="0.51180555555555596" bottom="0.51180555555555596"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zoomScaleNormal="100" workbookViewId="0">
      <selection activeCellId="1" sqref="A4:A26 A1:D1"/>
    </sheetView>
  </sheetViews>
  <sheetFormatPr defaultColWidth="7.1796875" defaultRowHeight="14.5"/>
  <cols>
    <col min="1" max="1" width="10.90625" customWidth="1"/>
    <col min="2" max="2" width="25.81640625" customWidth="1"/>
    <col min="3" max="3" width="12.36328125" style="38" customWidth="1"/>
    <col min="4" max="4" width="94.6328125" customWidth="1"/>
    <col min="7" max="7" width="8.1796875" customWidth="1"/>
  </cols>
  <sheetData>
    <row r="1" spans="1:4" ht="39.75" customHeight="1">
      <c r="A1" s="97" t="s">
        <v>62</v>
      </c>
      <c r="B1" s="97"/>
      <c r="C1" s="97"/>
      <c r="D1" s="97"/>
    </row>
    <row r="2" spans="1:4" hidden="1"/>
    <row r="3" spans="1:4" s="2" customFormat="1" ht="15.5">
      <c r="A3" s="39"/>
      <c r="B3" s="40" t="s">
        <v>63</v>
      </c>
      <c r="C3" s="41" t="s">
        <v>64</v>
      </c>
      <c r="D3" s="40" t="s">
        <v>65</v>
      </c>
    </row>
    <row r="4" spans="1:4" ht="15" customHeight="1">
      <c r="A4" s="98" t="s">
        <v>66</v>
      </c>
      <c r="B4" s="42" t="s">
        <v>67</v>
      </c>
      <c r="C4" s="43" t="s">
        <v>68</v>
      </c>
      <c r="D4" s="44" t="s">
        <v>69</v>
      </c>
    </row>
    <row r="5" spans="1:4">
      <c r="A5" s="98"/>
      <c r="B5" s="42" t="s">
        <v>3</v>
      </c>
      <c r="C5" s="43" t="s">
        <v>68</v>
      </c>
      <c r="D5" s="44" t="s">
        <v>70</v>
      </c>
    </row>
    <row r="6" spans="1:4">
      <c r="A6" s="98"/>
      <c r="B6" s="42" t="s">
        <v>71</v>
      </c>
      <c r="C6" s="43" t="s">
        <v>72</v>
      </c>
      <c r="D6" s="44" t="s">
        <v>73</v>
      </c>
    </row>
    <row r="7" spans="1:4">
      <c r="A7" s="98"/>
      <c r="B7" s="42" t="s">
        <v>5</v>
      </c>
      <c r="C7" s="43" t="s">
        <v>72</v>
      </c>
      <c r="D7" s="44" t="s">
        <v>74</v>
      </c>
    </row>
    <row r="8" spans="1:4">
      <c r="A8" s="98"/>
      <c r="B8" s="42" t="s">
        <v>6</v>
      </c>
      <c r="C8" s="43" t="s">
        <v>68</v>
      </c>
      <c r="D8" s="44" t="s">
        <v>75</v>
      </c>
    </row>
    <row r="9" spans="1:4">
      <c r="A9" s="98"/>
      <c r="B9" s="42" t="s">
        <v>7</v>
      </c>
      <c r="C9" s="43" t="s">
        <v>68</v>
      </c>
      <c r="D9" s="44" t="s">
        <v>76</v>
      </c>
    </row>
    <row r="10" spans="1:4">
      <c r="A10" s="98"/>
      <c r="B10" s="42" t="s">
        <v>8</v>
      </c>
      <c r="C10" s="43" t="s">
        <v>68</v>
      </c>
      <c r="D10" s="44" t="s">
        <v>77</v>
      </c>
    </row>
    <row r="11" spans="1:4">
      <c r="A11" s="98"/>
      <c r="B11" s="42" t="s">
        <v>9</v>
      </c>
      <c r="C11" s="43" t="s">
        <v>68</v>
      </c>
      <c r="D11" s="44" t="s">
        <v>78</v>
      </c>
    </row>
    <row r="12" spans="1:4">
      <c r="A12" s="98"/>
      <c r="B12" s="42" t="s">
        <v>10</v>
      </c>
      <c r="C12" s="43" t="s">
        <v>68</v>
      </c>
      <c r="D12" s="44" t="s">
        <v>79</v>
      </c>
    </row>
    <row r="13" spans="1:4">
      <c r="A13" s="98"/>
      <c r="B13" s="42" t="s">
        <v>80</v>
      </c>
      <c r="C13" s="43" t="s">
        <v>68</v>
      </c>
      <c r="D13" s="44" t="s">
        <v>81</v>
      </c>
    </row>
    <row r="14" spans="1:4">
      <c r="A14" s="98"/>
      <c r="B14" s="42" t="s">
        <v>12</v>
      </c>
      <c r="C14" s="43" t="s">
        <v>82</v>
      </c>
      <c r="D14" s="44" t="s">
        <v>83</v>
      </c>
    </row>
    <row r="15" spans="1:4">
      <c r="A15" s="98"/>
      <c r="B15" s="42" t="s">
        <v>84</v>
      </c>
      <c r="C15" s="43" t="s">
        <v>82</v>
      </c>
      <c r="D15" s="44" t="s">
        <v>85</v>
      </c>
    </row>
    <row r="16" spans="1:4">
      <c r="A16" s="98"/>
      <c r="B16" s="42" t="s">
        <v>14</v>
      </c>
      <c r="C16" s="43" t="s">
        <v>82</v>
      </c>
      <c r="D16" s="44" t="s">
        <v>86</v>
      </c>
    </row>
    <row r="17" spans="1:4">
      <c r="A17" s="98"/>
      <c r="B17" s="42" t="s">
        <v>15</v>
      </c>
      <c r="C17" s="43" t="s">
        <v>82</v>
      </c>
      <c r="D17" s="44" t="s">
        <v>87</v>
      </c>
    </row>
    <row r="18" spans="1:4">
      <c r="A18" s="98"/>
      <c r="B18" s="42" t="s">
        <v>88</v>
      </c>
      <c r="C18" s="43" t="s">
        <v>72</v>
      </c>
      <c r="D18" s="44" t="s">
        <v>89</v>
      </c>
    </row>
    <row r="19" spans="1:4">
      <c r="A19" s="98"/>
      <c r="B19" s="42" t="s">
        <v>17</v>
      </c>
      <c r="C19" s="43" t="s">
        <v>82</v>
      </c>
      <c r="D19" s="44" t="s">
        <v>90</v>
      </c>
    </row>
    <row r="20" spans="1:4">
      <c r="A20" s="98"/>
      <c r="B20" s="42" t="s">
        <v>18</v>
      </c>
      <c r="C20" s="43" t="s">
        <v>72</v>
      </c>
      <c r="D20" s="44" t="s">
        <v>91</v>
      </c>
    </row>
    <row r="21" spans="1:4">
      <c r="A21" s="98"/>
      <c r="B21" s="42" t="s">
        <v>19</v>
      </c>
      <c r="C21" s="43" t="s">
        <v>72</v>
      </c>
      <c r="D21" s="44" t="s">
        <v>92</v>
      </c>
    </row>
    <row r="22" spans="1:4">
      <c r="A22" s="98"/>
      <c r="B22" s="42" t="s">
        <v>20</v>
      </c>
      <c r="C22" s="43" t="s">
        <v>72</v>
      </c>
      <c r="D22" s="44" t="s">
        <v>93</v>
      </c>
    </row>
    <row r="23" spans="1:4">
      <c r="A23" s="98"/>
      <c r="B23" s="42" t="s">
        <v>21</v>
      </c>
      <c r="C23" s="43" t="s">
        <v>72</v>
      </c>
      <c r="D23" s="44" t="s">
        <v>94</v>
      </c>
    </row>
    <row r="24" spans="1:4">
      <c r="A24" s="98"/>
      <c r="B24" s="42" t="s">
        <v>22</v>
      </c>
      <c r="C24" s="43" t="s">
        <v>72</v>
      </c>
      <c r="D24" s="44" t="s">
        <v>95</v>
      </c>
    </row>
    <row r="25" spans="1:4">
      <c r="A25" s="98"/>
      <c r="B25" s="42" t="s">
        <v>23</v>
      </c>
      <c r="C25" s="43" t="s">
        <v>72</v>
      </c>
      <c r="D25" s="44" t="s">
        <v>96</v>
      </c>
    </row>
    <row r="26" spans="1:4">
      <c r="A26" s="98"/>
      <c r="B26" s="42" t="s">
        <v>24</v>
      </c>
      <c r="C26" s="43" t="s">
        <v>68</v>
      </c>
      <c r="D26" s="44" t="s">
        <v>97</v>
      </c>
    </row>
    <row r="27" spans="1:4" ht="15" customHeight="1">
      <c r="A27" s="99" t="s">
        <v>98</v>
      </c>
      <c r="B27" s="42" t="s">
        <v>25</v>
      </c>
      <c r="C27" s="43" t="s">
        <v>68</v>
      </c>
      <c r="D27" s="44" t="s">
        <v>99</v>
      </c>
    </row>
    <row r="28" spans="1:4">
      <c r="A28" s="99"/>
      <c r="B28" s="42" t="s">
        <v>100</v>
      </c>
      <c r="C28" s="43" t="s">
        <v>72</v>
      </c>
      <c r="D28" s="44" t="s">
        <v>101</v>
      </c>
    </row>
    <row r="29" spans="1:4">
      <c r="A29" s="99"/>
      <c r="B29" s="42" t="s">
        <v>27</v>
      </c>
      <c r="C29" s="43" t="s">
        <v>68</v>
      </c>
      <c r="D29" s="44" t="s">
        <v>102</v>
      </c>
    </row>
    <row r="30" spans="1:4">
      <c r="A30" s="99"/>
      <c r="B30" s="42" t="s">
        <v>28</v>
      </c>
      <c r="C30" s="43" t="s">
        <v>72</v>
      </c>
      <c r="D30" s="44" t="s">
        <v>103</v>
      </c>
    </row>
    <row r="31" spans="1:4">
      <c r="A31" s="99"/>
      <c r="B31" s="42" t="s">
        <v>29</v>
      </c>
      <c r="C31" s="43" t="s">
        <v>72</v>
      </c>
      <c r="D31" s="44" t="s">
        <v>104</v>
      </c>
    </row>
    <row r="32" spans="1:4">
      <c r="A32" s="99"/>
      <c r="B32" s="42" t="s">
        <v>30</v>
      </c>
      <c r="C32" s="38" t="s">
        <v>72</v>
      </c>
      <c r="D32" s="44" t="s">
        <v>105</v>
      </c>
    </row>
    <row r="33" spans="1:7">
      <c r="A33" s="99"/>
      <c r="B33" s="42" t="s">
        <v>31</v>
      </c>
      <c r="C33" s="38" t="s">
        <v>72</v>
      </c>
      <c r="D33" s="44" t="s">
        <v>106</v>
      </c>
      <c r="G33" s="45"/>
    </row>
    <row r="36" spans="1:7" ht="15" customHeight="1">
      <c r="A36" s="100" t="s">
        <v>107</v>
      </c>
      <c r="B36" s="100"/>
      <c r="C36" s="100"/>
    </row>
    <row r="37" spans="1:7">
      <c r="A37" s="100"/>
      <c r="B37" s="100"/>
      <c r="C37" s="100"/>
    </row>
    <row r="38" spans="1:7">
      <c r="A38" s="100"/>
      <c r="B38" s="100"/>
      <c r="C38" s="100"/>
    </row>
    <row r="39" spans="1:7">
      <c r="A39" s="100"/>
      <c r="B39" s="100"/>
      <c r="C39" s="100"/>
    </row>
    <row r="40" spans="1:7">
      <c r="A40" s="100"/>
      <c r="B40" s="100"/>
      <c r="C40" s="100"/>
    </row>
  </sheetData>
  <autoFilter ref="B3:D33" xr:uid="{00000000-0009-0000-0000-000001000000}"/>
  <mergeCells count="4">
    <mergeCell ref="A1:D1"/>
    <mergeCell ref="A4:A26"/>
    <mergeCell ref="A27:A33"/>
    <mergeCell ref="A36:C40"/>
  </mergeCells>
  <pageMargins left="0.7" right="0.7" top="0.51180555555555596" bottom="0.51180555555555596"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0"/>
  <sheetViews>
    <sheetView zoomScaleNormal="100" workbookViewId="0">
      <selection activeCellId="1" sqref="A4:A13 A1"/>
    </sheetView>
  </sheetViews>
  <sheetFormatPr defaultColWidth="7.1796875" defaultRowHeight="14.5"/>
  <cols>
    <col min="1" max="1" width="45.453125" customWidth="1"/>
    <col min="13" max="13" width="12.81640625" customWidth="1"/>
  </cols>
  <sheetData>
    <row r="1" spans="1:1">
      <c r="A1" s="46" t="s">
        <v>108</v>
      </c>
    </row>
    <row r="2" spans="1:1">
      <c r="A2" s="47" t="s">
        <v>109</v>
      </c>
    </row>
    <row r="3" spans="1:1">
      <c r="A3" s="47" t="s">
        <v>110</v>
      </c>
    </row>
    <row r="4" spans="1:1">
      <c r="A4" s="47" t="s">
        <v>111</v>
      </c>
    </row>
    <row r="5" spans="1:1">
      <c r="A5" s="47" t="s">
        <v>112</v>
      </c>
    </row>
    <row r="6" spans="1:1">
      <c r="A6" s="47" t="s">
        <v>113</v>
      </c>
    </row>
    <row r="7" spans="1:1">
      <c r="A7" s="47" t="s">
        <v>114</v>
      </c>
    </row>
    <row r="8" spans="1:1">
      <c r="A8" s="47" t="s">
        <v>115</v>
      </c>
    </row>
    <row r="9" spans="1:1">
      <c r="A9" s="47" t="s">
        <v>116</v>
      </c>
    </row>
    <row r="10" spans="1:1">
      <c r="A10" s="47" t="s">
        <v>117</v>
      </c>
    </row>
    <row r="11" spans="1:1">
      <c r="A11" s="47" t="s">
        <v>118</v>
      </c>
    </row>
    <row r="12" spans="1:1">
      <c r="A12" s="47" t="s">
        <v>119</v>
      </c>
    </row>
    <row r="13" spans="1:1">
      <c r="A13" s="47" t="s">
        <v>120</v>
      </c>
    </row>
    <row r="14" spans="1:1">
      <c r="A14" s="24" t="s">
        <v>121</v>
      </c>
    </row>
    <row r="15" spans="1:1">
      <c r="A15" s="47" t="s">
        <v>122</v>
      </c>
    </row>
    <row r="16" spans="1:1">
      <c r="A16" s="47" t="s">
        <v>123</v>
      </c>
    </row>
    <row r="17" spans="1:1">
      <c r="A17" s="47" t="s">
        <v>124</v>
      </c>
    </row>
    <row r="18" spans="1:1">
      <c r="A18" s="47" t="s">
        <v>125</v>
      </c>
    </row>
    <row r="19" spans="1:1">
      <c r="A19" s="47" t="s">
        <v>126</v>
      </c>
    </row>
    <row r="20" spans="1:1">
      <c r="A20" s="47" t="s">
        <v>127</v>
      </c>
    </row>
    <row r="21" spans="1:1">
      <c r="A21" s="47" t="s">
        <v>128</v>
      </c>
    </row>
    <row r="22" spans="1:1">
      <c r="A22" s="24" t="s">
        <v>129</v>
      </c>
    </row>
    <row r="23" spans="1:1">
      <c r="A23" s="47" t="s">
        <v>130</v>
      </c>
    </row>
    <row r="24" spans="1:1">
      <c r="A24" s="47" t="s">
        <v>131</v>
      </c>
    </row>
    <row r="25" spans="1:1">
      <c r="A25" s="47" t="s">
        <v>132</v>
      </c>
    </row>
    <row r="26" spans="1:1">
      <c r="A26" s="47" t="s">
        <v>133</v>
      </c>
    </row>
    <row r="27" spans="1:1">
      <c r="A27" s="47" t="s">
        <v>134</v>
      </c>
    </row>
    <row r="28" spans="1:1">
      <c r="A28" s="47" t="s">
        <v>135</v>
      </c>
    </row>
    <row r="29" spans="1:1">
      <c r="A29" s="47" t="s">
        <v>136</v>
      </c>
    </row>
    <row r="30" spans="1:1">
      <c r="A30" s="47" t="s">
        <v>137</v>
      </c>
    </row>
    <row r="31" spans="1:1">
      <c r="A31" s="47" t="s">
        <v>138</v>
      </c>
    </row>
    <row r="32" spans="1:1">
      <c r="A32" s="47" t="s">
        <v>139</v>
      </c>
    </row>
    <row r="33" spans="1:1">
      <c r="A33" s="24" t="s">
        <v>140</v>
      </c>
    </row>
    <row r="34" spans="1:1">
      <c r="A34" s="47" t="s">
        <v>141</v>
      </c>
    </row>
    <row r="35" spans="1:1">
      <c r="A35" s="47" t="s">
        <v>142</v>
      </c>
    </row>
    <row r="36" spans="1:1">
      <c r="A36" s="24" t="s">
        <v>143</v>
      </c>
    </row>
    <row r="37" spans="1:1">
      <c r="A37" s="47" t="s">
        <v>144</v>
      </c>
    </row>
    <row r="38" spans="1:1">
      <c r="A38" s="47" t="s">
        <v>145</v>
      </c>
    </row>
    <row r="39" spans="1:1">
      <c r="A39" s="47" t="s">
        <v>146</v>
      </c>
    </row>
    <row r="40" spans="1:1">
      <c r="A40" s="47" t="s">
        <v>147</v>
      </c>
    </row>
    <row r="41" spans="1:1">
      <c r="A41" s="47" t="s">
        <v>148</v>
      </c>
    </row>
    <row r="42" spans="1:1">
      <c r="A42" s="24" t="s">
        <v>149</v>
      </c>
    </row>
    <row r="43" spans="1:1">
      <c r="A43" s="47" t="s">
        <v>150</v>
      </c>
    </row>
    <row r="44" spans="1:1">
      <c r="A44" s="47" t="s">
        <v>151</v>
      </c>
    </row>
    <row r="45" spans="1:1">
      <c r="A45" s="47" t="s">
        <v>152</v>
      </c>
    </row>
    <row r="46" spans="1:1">
      <c r="A46" s="47" t="s">
        <v>153</v>
      </c>
    </row>
    <row r="47" spans="1:1">
      <c r="A47" s="47" t="s">
        <v>154</v>
      </c>
    </row>
    <row r="48" spans="1:1">
      <c r="A48" s="47" t="s">
        <v>155</v>
      </c>
    </row>
    <row r="49" spans="1:1">
      <c r="A49" s="47" t="s">
        <v>156</v>
      </c>
    </row>
    <row r="50" spans="1:1">
      <c r="A50" s="24" t="s">
        <v>157</v>
      </c>
    </row>
    <row r="51" spans="1:1">
      <c r="A51" s="47" t="s">
        <v>158</v>
      </c>
    </row>
    <row r="52" spans="1:1">
      <c r="A52" s="47" t="s">
        <v>159</v>
      </c>
    </row>
    <row r="53" spans="1:1">
      <c r="A53" s="47" t="s">
        <v>160</v>
      </c>
    </row>
    <row r="54" spans="1:1">
      <c r="A54" s="47" t="s">
        <v>161</v>
      </c>
    </row>
    <row r="55" spans="1:1">
      <c r="A55" s="47" t="s">
        <v>162</v>
      </c>
    </row>
    <row r="56" spans="1:1">
      <c r="A56" s="24" t="s">
        <v>163</v>
      </c>
    </row>
    <row r="57" spans="1:1">
      <c r="A57" s="47" t="s">
        <v>164</v>
      </c>
    </row>
    <row r="58" spans="1:1">
      <c r="A58" s="47" t="s">
        <v>165</v>
      </c>
    </row>
    <row r="59" spans="1:1">
      <c r="A59" s="24" t="s">
        <v>166</v>
      </c>
    </row>
    <row r="60" spans="1:1">
      <c r="A60" s="24" t="s">
        <v>167</v>
      </c>
    </row>
    <row r="61" spans="1:1">
      <c r="A61" s="47" t="s">
        <v>168</v>
      </c>
    </row>
    <row r="62" spans="1:1">
      <c r="A62" s="24" t="s">
        <v>169</v>
      </c>
    </row>
    <row r="63" spans="1:1">
      <c r="A63" s="47" t="s">
        <v>170</v>
      </c>
    </row>
    <row r="64" spans="1:1">
      <c r="A64" s="47" t="s">
        <v>171</v>
      </c>
    </row>
    <row r="65" spans="1:1">
      <c r="A65" s="47" t="s">
        <v>172</v>
      </c>
    </row>
    <row r="66" spans="1:1">
      <c r="A66" s="47" t="s">
        <v>173</v>
      </c>
    </row>
    <row r="67" spans="1:1">
      <c r="A67" s="47" t="s">
        <v>174</v>
      </c>
    </row>
    <row r="68" spans="1:1">
      <c r="A68" s="47" t="s">
        <v>175</v>
      </c>
    </row>
    <row r="69" spans="1:1">
      <c r="A69" s="47" t="s">
        <v>176</v>
      </c>
    </row>
    <row r="70" spans="1:1">
      <c r="A70" s="47" t="s">
        <v>177</v>
      </c>
    </row>
    <row r="71" spans="1:1">
      <c r="A71" s="24" t="s">
        <v>178</v>
      </c>
    </row>
    <row r="72" spans="1:1">
      <c r="A72" s="47" t="s">
        <v>179</v>
      </c>
    </row>
    <row r="73" spans="1:1">
      <c r="A73" s="47" t="s">
        <v>180</v>
      </c>
    </row>
    <row r="74" spans="1:1">
      <c r="A74" s="47" t="s">
        <v>181</v>
      </c>
    </row>
    <row r="75" spans="1:1">
      <c r="A75" s="47" t="s">
        <v>182</v>
      </c>
    </row>
    <row r="76" spans="1:1">
      <c r="A76" s="47" t="s">
        <v>183</v>
      </c>
    </row>
    <row r="77" spans="1:1">
      <c r="A77" s="24" t="s">
        <v>184</v>
      </c>
    </row>
    <row r="78" spans="1:1">
      <c r="A78" s="24" t="s">
        <v>185</v>
      </c>
    </row>
    <row r="79" spans="1:1">
      <c r="A79" s="47" t="s">
        <v>186</v>
      </c>
    </row>
    <row r="80" spans="1:1">
      <c r="A80" s="47" t="s">
        <v>187</v>
      </c>
    </row>
    <row r="81" spans="1:1">
      <c r="A81" s="47" t="s">
        <v>188</v>
      </c>
    </row>
    <row r="82" spans="1:1">
      <c r="A82" s="47" t="s">
        <v>189</v>
      </c>
    </row>
    <row r="83" spans="1:1">
      <c r="A83" s="47" t="s">
        <v>190</v>
      </c>
    </row>
    <row r="84" spans="1:1">
      <c r="A84" s="47" t="s">
        <v>191</v>
      </c>
    </row>
    <row r="85" spans="1:1">
      <c r="A85" s="24" t="s">
        <v>50</v>
      </c>
    </row>
    <row r="86" spans="1:1">
      <c r="A86" s="47" t="s">
        <v>192</v>
      </c>
    </row>
    <row r="87" spans="1:1">
      <c r="A87" s="47" t="s">
        <v>193</v>
      </c>
    </row>
    <row r="88" spans="1:1">
      <c r="A88" s="24" t="s">
        <v>194</v>
      </c>
    </row>
    <row r="89" spans="1:1">
      <c r="A89" s="47" t="s">
        <v>195</v>
      </c>
    </row>
    <row r="90" spans="1:1">
      <c r="A90" s="47" t="s">
        <v>196</v>
      </c>
    </row>
    <row r="91" spans="1:1">
      <c r="A91" s="47" t="s">
        <v>197</v>
      </c>
    </row>
    <row r="92" spans="1:1">
      <c r="A92" s="47" t="s">
        <v>198</v>
      </c>
    </row>
    <row r="93" spans="1:1">
      <c r="A93" s="47" t="s">
        <v>199</v>
      </c>
    </row>
    <row r="94" spans="1:1">
      <c r="A94" s="47" t="s">
        <v>200</v>
      </c>
    </row>
    <row r="95" spans="1:1">
      <c r="A95" s="47" t="s">
        <v>201</v>
      </c>
    </row>
    <row r="96" spans="1:1">
      <c r="A96" s="47" t="s">
        <v>202</v>
      </c>
    </row>
    <row r="97" spans="1:1">
      <c r="A97" s="47" t="s">
        <v>203</v>
      </c>
    </row>
    <row r="98" spans="1:1">
      <c r="A98" s="47" t="s">
        <v>204</v>
      </c>
    </row>
    <row r="99" spans="1:1">
      <c r="A99" s="47" t="s">
        <v>205</v>
      </c>
    </row>
    <row r="100" spans="1:1">
      <c r="A100" s="47" t="s">
        <v>206</v>
      </c>
    </row>
    <row r="101" spans="1:1">
      <c r="A101" s="47" t="s">
        <v>207</v>
      </c>
    </row>
    <row r="102" spans="1:1">
      <c r="A102" s="47" t="s">
        <v>208</v>
      </c>
    </row>
    <row r="103" spans="1:1">
      <c r="A103" s="24" t="s">
        <v>209</v>
      </c>
    </row>
    <row r="104" spans="1:1">
      <c r="A104" s="47" t="s">
        <v>210</v>
      </c>
    </row>
    <row r="105" spans="1:1">
      <c r="A105" s="24" t="s">
        <v>211</v>
      </c>
    </row>
    <row r="106" spans="1:1">
      <c r="A106" s="47" t="s">
        <v>212</v>
      </c>
    </row>
    <row r="107" spans="1:1">
      <c r="A107" s="47" t="s">
        <v>213</v>
      </c>
    </row>
    <row r="108" spans="1:1">
      <c r="A108" s="47" t="s">
        <v>214</v>
      </c>
    </row>
    <row r="109" spans="1:1">
      <c r="A109" s="24" t="s">
        <v>61</v>
      </c>
    </row>
    <row r="110" spans="1:1">
      <c r="A110" s="47" t="s">
        <v>215</v>
      </c>
    </row>
    <row r="111" spans="1:1">
      <c r="A111" s="47" t="s">
        <v>216</v>
      </c>
    </row>
    <row r="112" spans="1:1">
      <c r="A112" s="24" t="s">
        <v>54</v>
      </c>
    </row>
    <row r="113" spans="1:1">
      <c r="A113" s="47" t="s">
        <v>217</v>
      </c>
    </row>
    <row r="114" spans="1:1">
      <c r="A114" s="47" t="s">
        <v>218</v>
      </c>
    </row>
    <row r="115" spans="1:1">
      <c r="A115" s="47" t="s">
        <v>219</v>
      </c>
    </row>
    <row r="116" spans="1:1">
      <c r="A116" s="47" t="s">
        <v>220</v>
      </c>
    </row>
    <row r="117" spans="1:1">
      <c r="A117" s="47" t="s">
        <v>221</v>
      </c>
    </row>
    <row r="118" spans="1:1">
      <c r="A118" s="47" t="s">
        <v>222</v>
      </c>
    </row>
    <row r="119" spans="1:1">
      <c r="A119" s="47" t="s">
        <v>223</v>
      </c>
    </row>
    <row r="120" spans="1:1">
      <c r="A120" s="47" t="s">
        <v>224</v>
      </c>
    </row>
    <row r="121" spans="1:1">
      <c r="A121" s="47" t="s">
        <v>225</v>
      </c>
    </row>
    <row r="122" spans="1:1">
      <c r="A122" s="47" t="s">
        <v>226</v>
      </c>
    </row>
    <row r="123" spans="1:1">
      <c r="A123" s="47" t="s">
        <v>227</v>
      </c>
    </row>
    <row r="124" spans="1:1">
      <c r="A124" s="47" t="s">
        <v>228</v>
      </c>
    </row>
    <row r="125" spans="1:1">
      <c r="A125" s="24" t="s">
        <v>229</v>
      </c>
    </row>
    <row r="126" spans="1:1">
      <c r="A126" s="47" t="s">
        <v>230</v>
      </c>
    </row>
    <row r="127" spans="1:1">
      <c r="A127" s="47" t="s">
        <v>231</v>
      </c>
    </row>
    <row r="128" spans="1:1">
      <c r="A128" s="47" t="s">
        <v>232</v>
      </c>
    </row>
    <row r="129" spans="1:1">
      <c r="A129" s="47" t="s">
        <v>233</v>
      </c>
    </row>
    <row r="130" spans="1:1">
      <c r="A130" s="47" t="s">
        <v>234</v>
      </c>
    </row>
    <row r="131" spans="1:1">
      <c r="A131" s="24" t="s">
        <v>235</v>
      </c>
    </row>
    <row r="132" spans="1:1">
      <c r="A132" s="24" t="s">
        <v>236</v>
      </c>
    </row>
    <row r="133" spans="1:1">
      <c r="A133" s="47" t="s">
        <v>237</v>
      </c>
    </row>
    <row r="134" spans="1:1">
      <c r="A134" s="47" t="s">
        <v>238</v>
      </c>
    </row>
    <row r="135" spans="1:1">
      <c r="A135" s="47" t="s">
        <v>239</v>
      </c>
    </row>
    <row r="136" spans="1:1">
      <c r="A136" s="47" t="s">
        <v>240</v>
      </c>
    </row>
    <row r="137" spans="1:1">
      <c r="A137" s="47" t="s">
        <v>241</v>
      </c>
    </row>
    <row r="138" spans="1:1">
      <c r="A138" s="47" t="s">
        <v>242</v>
      </c>
    </row>
    <row r="139" spans="1:1">
      <c r="A139" s="24" t="s">
        <v>243</v>
      </c>
    </row>
    <row r="140" spans="1:1">
      <c r="A140" s="47" t="s">
        <v>244</v>
      </c>
    </row>
    <row r="141" spans="1:1">
      <c r="A141" s="47" t="s">
        <v>245</v>
      </c>
    </row>
    <row r="142" spans="1:1">
      <c r="A142" s="47" t="s">
        <v>246</v>
      </c>
    </row>
    <row r="143" spans="1:1">
      <c r="A143" s="47" t="s">
        <v>247</v>
      </c>
    </row>
    <row r="144" spans="1:1">
      <c r="A144" s="47" t="s">
        <v>248</v>
      </c>
    </row>
    <row r="145" spans="1:1">
      <c r="A145" s="24" t="s">
        <v>249</v>
      </c>
    </row>
    <row r="146" spans="1:1">
      <c r="A146" s="47" t="s">
        <v>250</v>
      </c>
    </row>
    <row r="147" spans="1:1">
      <c r="A147" s="47" t="s">
        <v>251</v>
      </c>
    </row>
    <row r="148" spans="1:1">
      <c r="A148" s="47" t="s">
        <v>252</v>
      </c>
    </row>
    <row r="149" spans="1:1">
      <c r="A149" s="47" t="s">
        <v>253</v>
      </c>
    </row>
    <row r="150" spans="1:1">
      <c r="A150" s="47" t="s">
        <v>254</v>
      </c>
    </row>
    <row r="151" spans="1:1">
      <c r="A151" s="47" t="s">
        <v>255</v>
      </c>
    </row>
    <row r="152" spans="1:1">
      <c r="A152" s="47" t="s">
        <v>256</v>
      </c>
    </row>
    <row r="153" spans="1:1">
      <c r="A153" s="47" t="s">
        <v>257</v>
      </c>
    </row>
    <row r="154" spans="1:1">
      <c r="A154" s="47" t="s">
        <v>258</v>
      </c>
    </row>
    <row r="155" spans="1:1">
      <c r="A155" s="47" t="s">
        <v>259</v>
      </c>
    </row>
    <row r="156" spans="1:1">
      <c r="A156" s="47" t="s">
        <v>260</v>
      </c>
    </row>
    <row r="157" spans="1:1">
      <c r="A157" s="47" t="s">
        <v>261</v>
      </c>
    </row>
    <row r="158" spans="1:1">
      <c r="A158" s="24" t="s">
        <v>262</v>
      </c>
    </row>
    <row r="159" spans="1:1">
      <c r="A159" s="47" t="s">
        <v>263</v>
      </c>
    </row>
    <row r="160" spans="1:1">
      <c r="A160" s="47" t="s">
        <v>264</v>
      </c>
    </row>
    <row r="161" spans="1:1">
      <c r="A161" s="47" t="s">
        <v>265</v>
      </c>
    </row>
    <row r="162" spans="1:1">
      <c r="A162" s="47" t="s">
        <v>266</v>
      </c>
    </row>
    <row r="163" spans="1:1">
      <c r="A163" s="47" t="s">
        <v>267</v>
      </c>
    </row>
    <row r="164" spans="1:1">
      <c r="A164" s="47" t="s">
        <v>268</v>
      </c>
    </row>
    <row r="165" spans="1:1">
      <c r="A165" s="47" t="s">
        <v>269</v>
      </c>
    </row>
    <row r="166" spans="1:1">
      <c r="A166" s="47" t="s">
        <v>270</v>
      </c>
    </row>
    <row r="167" spans="1:1">
      <c r="A167" s="47" t="s">
        <v>271</v>
      </c>
    </row>
    <row r="168" spans="1:1">
      <c r="A168" s="47" t="s">
        <v>272</v>
      </c>
    </row>
    <row r="169" spans="1:1">
      <c r="A169" s="47" t="s">
        <v>273</v>
      </c>
    </row>
    <row r="170" spans="1:1">
      <c r="A170" s="47" t="s">
        <v>274</v>
      </c>
    </row>
    <row r="171" spans="1:1">
      <c r="A171" s="47" t="s">
        <v>275</v>
      </c>
    </row>
    <row r="172" spans="1:1">
      <c r="A172" s="47" t="s">
        <v>276</v>
      </c>
    </row>
    <row r="173" spans="1:1">
      <c r="A173" s="47" t="s">
        <v>277</v>
      </c>
    </row>
    <row r="174" spans="1:1">
      <c r="A174" s="47" t="s">
        <v>278</v>
      </c>
    </row>
    <row r="175" spans="1:1">
      <c r="A175" s="47" t="s">
        <v>279</v>
      </c>
    </row>
    <row r="176" spans="1:1">
      <c r="A176" s="47" t="s">
        <v>280</v>
      </c>
    </row>
    <row r="177" spans="1:1">
      <c r="A177" s="47" t="s">
        <v>281</v>
      </c>
    </row>
    <row r="178" spans="1:1">
      <c r="A178" s="47" t="s">
        <v>282</v>
      </c>
    </row>
    <row r="179" spans="1:1">
      <c r="A179" s="24" t="s">
        <v>45</v>
      </c>
    </row>
    <row r="180" spans="1:1">
      <c r="A180" s="24" t="s">
        <v>283</v>
      </c>
    </row>
    <row r="181" spans="1:1">
      <c r="A181" s="47" t="s">
        <v>284</v>
      </c>
    </row>
    <row r="182" spans="1:1">
      <c r="A182" s="47" t="s">
        <v>285</v>
      </c>
    </row>
    <row r="183" spans="1:1">
      <c r="A183" s="24" t="s">
        <v>286</v>
      </c>
    </row>
    <row r="184" spans="1:1">
      <c r="A184" s="47" t="s">
        <v>287</v>
      </c>
    </row>
    <row r="185" spans="1:1">
      <c r="A185" s="47" t="s">
        <v>288</v>
      </c>
    </row>
    <row r="186" spans="1:1">
      <c r="A186" s="47" t="s">
        <v>289</v>
      </c>
    </row>
    <row r="187" spans="1:1">
      <c r="A187" s="47" t="s">
        <v>290</v>
      </c>
    </row>
    <row r="188" spans="1:1">
      <c r="A188" s="47" t="s">
        <v>291</v>
      </c>
    </row>
    <row r="189" spans="1:1">
      <c r="A189" s="47" t="s">
        <v>292</v>
      </c>
    </row>
    <row r="190" spans="1:1">
      <c r="A190" s="47" t="s">
        <v>293</v>
      </c>
    </row>
    <row r="191" spans="1:1">
      <c r="A191" s="47" t="s">
        <v>294</v>
      </c>
    </row>
    <row r="192" spans="1:1">
      <c r="A192" s="47" t="s">
        <v>295</v>
      </c>
    </row>
    <row r="193" spans="1:1">
      <c r="A193" s="47" t="s">
        <v>296</v>
      </c>
    </row>
    <row r="194" spans="1:1">
      <c r="A194" s="47" t="s">
        <v>297</v>
      </c>
    </row>
    <row r="195" spans="1:1">
      <c r="A195" s="47" t="s">
        <v>298</v>
      </c>
    </row>
    <row r="196" spans="1:1">
      <c r="A196" s="47" t="s">
        <v>299</v>
      </c>
    </row>
    <row r="197" spans="1:1">
      <c r="A197" s="47" t="s">
        <v>300</v>
      </c>
    </row>
    <row r="198" spans="1:1">
      <c r="A198" s="47" t="s">
        <v>301</v>
      </c>
    </row>
    <row r="199" spans="1:1">
      <c r="A199" s="47" t="s">
        <v>302</v>
      </c>
    </row>
    <row r="200" spans="1:1">
      <c r="A200" s="47" t="s">
        <v>303</v>
      </c>
    </row>
    <row r="201" spans="1:1">
      <c r="A201" s="47" t="s">
        <v>304</v>
      </c>
    </row>
    <row r="202" spans="1:1">
      <c r="A202" s="47" t="s">
        <v>305</v>
      </c>
    </row>
    <row r="203" spans="1:1">
      <c r="A203" s="47" t="s">
        <v>306</v>
      </c>
    </row>
    <row r="204" spans="1:1">
      <c r="A204" s="24" t="s">
        <v>307</v>
      </c>
    </row>
    <row r="205" spans="1:1">
      <c r="A205" s="24" t="s">
        <v>308</v>
      </c>
    </row>
    <row r="206" spans="1:1">
      <c r="A206" s="47" t="s">
        <v>309</v>
      </c>
    </row>
    <row r="207" spans="1:1">
      <c r="A207" s="47" t="s">
        <v>310</v>
      </c>
    </row>
    <row r="208" spans="1:1">
      <c r="A208" s="47" t="s">
        <v>311</v>
      </c>
    </row>
    <row r="209" spans="1:1">
      <c r="A209" s="47" t="s">
        <v>312</v>
      </c>
    </row>
    <row r="210" spans="1:1">
      <c r="A210" s="47" t="s">
        <v>313</v>
      </c>
    </row>
    <row r="211" spans="1:1">
      <c r="A211" s="24" t="s">
        <v>314</v>
      </c>
    </row>
    <row r="212" spans="1:1">
      <c r="A212" s="47" t="s">
        <v>315</v>
      </c>
    </row>
    <row r="213" spans="1:1">
      <c r="A213" s="47" t="s">
        <v>316</v>
      </c>
    </row>
    <row r="214" spans="1:1">
      <c r="A214" s="47" t="s">
        <v>317</v>
      </c>
    </row>
    <row r="215" spans="1:1">
      <c r="A215" s="47" t="s">
        <v>318</v>
      </c>
    </row>
    <row r="216" spans="1:1">
      <c r="A216" s="24" t="s">
        <v>319</v>
      </c>
    </row>
    <row r="217" spans="1:1">
      <c r="A217" s="47" t="s">
        <v>320</v>
      </c>
    </row>
    <row r="218" spans="1:1">
      <c r="A218" s="47" t="s">
        <v>321</v>
      </c>
    </row>
    <row r="219" spans="1:1">
      <c r="A219" s="47" t="s">
        <v>322</v>
      </c>
    </row>
    <row r="220" spans="1:1">
      <c r="A220" s="47" t="s">
        <v>323</v>
      </c>
    </row>
    <row r="221" spans="1:1">
      <c r="A221" s="47" t="s">
        <v>324</v>
      </c>
    </row>
    <row r="222" spans="1:1">
      <c r="A222" s="47" t="s">
        <v>325</v>
      </c>
    </row>
    <row r="223" spans="1:1">
      <c r="A223" s="47" t="s">
        <v>326</v>
      </c>
    </row>
    <row r="224" spans="1:1">
      <c r="A224" s="47" t="s">
        <v>327</v>
      </c>
    </row>
    <row r="225" spans="1:1">
      <c r="A225" s="47" t="s">
        <v>328</v>
      </c>
    </row>
    <row r="226" spans="1:1">
      <c r="A226" s="47" t="s">
        <v>329</v>
      </c>
    </row>
    <row r="227" spans="1:1">
      <c r="A227" s="47" t="s">
        <v>330</v>
      </c>
    </row>
    <row r="228" spans="1:1">
      <c r="A228" s="47" t="s">
        <v>331</v>
      </c>
    </row>
    <row r="229" spans="1:1">
      <c r="A229" s="47" t="s">
        <v>332</v>
      </c>
    </row>
    <row r="230" spans="1:1">
      <c r="A230" s="47" t="s">
        <v>333</v>
      </c>
    </row>
    <row r="231" spans="1:1">
      <c r="A231" s="47" t="s">
        <v>334</v>
      </c>
    </row>
    <row r="232" spans="1:1">
      <c r="A232" s="47" t="s">
        <v>335</v>
      </c>
    </row>
    <row r="233" spans="1:1">
      <c r="A233" s="47" t="s">
        <v>336</v>
      </c>
    </row>
    <row r="234" spans="1:1">
      <c r="A234" s="47" t="s">
        <v>337</v>
      </c>
    </row>
    <row r="235" spans="1:1">
      <c r="A235" s="47" t="s">
        <v>338</v>
      </c>
    </row>
    <row r="236" spans="1:1">
      <c r="A236" s="24" t="s">
        <v>36</v>
      </c>
    </row>
    <row r="237" spans="1:1">
      <c r="A237" s="47" t="s">
        <v>339</v>
      </c>
    </row>
    <row r="238" spans="1:1">
      <c r="A238" s="24" t="s">
        <v>340</v>
      </c>
    </row>
    <row r="239" spans="1:1">
      <c r="A239" s="47" t="s">
        <v>341</v>
      </c>
    </row>
    <row r="240" spans="1:1">
      <c r="A240" s="47" t="s">
        <v>342</v>
      </c>
    </row>
    <row r="241" spans="1:1">
      <c r="A241" s="47" t="s">
        <v>343</v>
      </c>
    </row>
    <row r="242" spans="1:1">
      <c r="A242" s="47" t="s">
        <v>344</v>
      </c>
    </row>
    <row r="243" spans="1:1">
      <c r="A243" s="47" t="s">
        <v>345</v>
      </c>
    </row>
    <row r="244" spans="1:1">
      <c r="A244" s="47" t="s">
        <v>346</v>
      </c>
    </row>
    <row r="245" spans="1:1">
      <c r="A245" s="47" t="s">
        <v>347</v>
      </c>
    </row>
    <row r="246" spans="1:1">
      <c r="A246" s="47" t="s">
        <v>348</v>
      </c>
    </row>
    <row r="247" spans="1:1">
      <c r="A247" s="47" t="s">
        <v>349</v>
      </c>
    </row>
    <row r="248" spans="1:1">
      <c r="A248" s="47" t="s">
        <v>350</v>
      </c>
    </row>
    <row r="249" spans="1:1">
      <c r="A249" s="47" t="s">
        <v>351</v>
      </c>
    </row>
    <row r="250" spans="1:1">
      <c r="A250" s="47" t="s">
        <v>352</v>
      </c>
    </row>
  </sheetData>
  <pageMargins left="0.7" right="0.7" top="0.51180555555555596" bottom="0.51180555555555596"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4"/>
  </sheetPr>
  <dimension ref="A1:AE6"/>
  <sheetViews>
    <sheetView zoomScaleNormal="100" workbookViewId="0">
      <selection activeCellId="1" sqref="A4:A13 A1"/>
    </sheetView>
  </sheetViews>
  <sheetFormatPr defaultColWidth="7.6328125" defaultRowHeight="15.5"/>
  <cols>
    <col min="1" max="1" width="9.54296875" style="2" customWidth="1"/>
    <col min="2" max="2" width="10.90625" style="1" customWidth="1"/>
    <col min="3" max="3" width="21.81640625" style="2" customWidth="1"/>
    <col min="4" max="4" width="20.81640625" style="3" customWidth="1"/>
    <col min="5" max="5" width="25.81640625" style="3" customWidth="1"/>
    <col min="6" max="6" width="28.1796875" style="2" customWidth="1"/>
    <col min="7" max="7" width="27" style="2" customWidth="1"/>
    <col min="8" max="8" width="11.81640625" style="4" customWidth="1"/>
    <col min="9" max="9" width="8" style="4" customWidth="1"/>
    <col min="10" max="10" width="15.7265625" style="5" customWidth="1"/>
    <col min="11" max="11" width="23.7265625" style="2" customWidth="1"/>
    <col min="12" max="12" width="19.1796875" style="6" customWidth="1"/>
    <col min="13" max="13" width="10.90625" style="3" customWidth="1"/>
    <col min="14" max="14" width="15.7265625" style="6" customWidth="1"/>
    <col min="15" max="15" width="22.81640625" style="2" customWidth="1"/>
    <col min="16" max="16" width="12.08984375" style="3" customWidth="1"/>
    <col min="17" max="17" width="18" style="6" customWidth="1"/>
    <col min="18" max="18" width="18.81640625" style="5" customWidth="1"/>
    <col min="19" max="19" width="15.90625" style="6" customWidth="1"/>
    <col min="20" max="20" width="8" style="6" customWidth="1"/>
    <col min="21" max="21" width="10.453125" style="5" customWidth="1"/>
    <col min="22" max="22" width="8" style="6" customWidth="1"/>
    <col min="23" max="23" width="12.08984375" style="5" customWidth="1"/>
    <col min="24" max="24" width="13.453125" style="2" customWidth="1"/>
    <col min="25" max="25" width="12.6328125" style="6" customWidth="1"/>
    <col min="26" max="26" width="10.453125" style="1" customWidth="1"/>
    <col min="27" max="27" width="14.54296875" style="5" customWidth="1"/>
    <col min="28" max="28" width="17.36328125" style="6" customWidth="1"/>
    <col min="29" max="29" width="15.453125" style="5" customWidth="1"/>
    <col min="30" max="30" width="15" style="6" customWidth="1"/>
    <col min="31" max="31" width="14.6328125" style="6" customWidth="1"/>
    <col min="32" max="16384" width="7.6328125" style="2"/>
  </cols>
  <sheetData>
    <row r="1" spans="1:31" ht="30.75" customHeight="1">
      <c r="H1" s="95" t="s">
        <v>0</v>
      </c>
      <c r="I1" s="95"/>
      <c r="J1" s="7">
        <f>SUM(J3:J10001)</f>
        <v>0</v>
      </c>
      <c r="K1" s="2" t="s">
        <v>353</v>
      </c>
      <c r="L1" s="6" t="s">
        <v>354</v>
      </c>
      <c r="Y1" s="96" t="s">
        <v>1</v>
      </c>
      <c r="Z1" s="96"/>
      <c r="AA1" s="7">
        <f>SUM(AA3:AA10001)</f>
        <v>0</v>
      </c>
      <c r="AB1" s="2" t="s">
        <v>353</v>
      </c>
      <c r="AC1" s="5" t="s">
        <v>355</v>
      </c>
    </row>
    <row r="2" spans="1:31" hidden="1">
      <c r="J2" s="8"/>
      <c r="AA2" s="8"/>
    </row>
    <row r="3" spans="1:31" s="18" customFormat="1" ht="51.75" customHeight="1">
      <c r="B3" s="9" t="s">
        <v>67</v>
      </c>
      <c r="C3" s="48" t="s">
        <v>3</v>
      </c>
      <c r="D3" s="11" t="s">
        <v>71</v>
      </c>
      <c r="E3" s="11" t="s">
        <v>5</v>
      </c>
      <c r="F3" s="10" t="s">
        <v>6</v>
      </c>
      <c r="G3" s="10" t="s">
        <v>7</v>
      </c>
      <c r="H3" s="10" t="s">
        <v>8</v>
      </c>
      <c r="I3" s="12" t="s">
        <v>9</v>
      </c>
      <c r="J3" s="49" t="s">
        <v>10</v>
      </c>
      <c r="K3" s="14" t="s">
        <v>11</v>
      </c>
      <c r="L3" s="11" t="s">
        <v>12</v>
      </c>
      <c r="M3" s="11" t="s">
        <v>13</v>
      </c>
      <c r="N3" s="11" t="s">
        <v>14</v>
      </c>
      <c r="O3" s="10" t="s">
        <v>15</v>
      </c>
      <c r="P3" s="11" t="s">
        <v>16</v>
      </c>
      <c r="Q3" s="11" t="s">
        <v>17</v>
      </c>
      <c r="R3" s="15" t="s">
        <v>18</v>
      </c>
      <c r="S3" s="11" t="s">
        <v>19</v>
      </c>
      <c r="T3" s="11" t="s">
        <v>20</v>
      </c>
      <c r="U3" s="15" t="s">
        <v>21</v>
      </c>
      <c r="V3" s="11" t="s">
        <v>22</v>
      </c>
      <c r="W3" s="15" t="s">
        <v>23</v>
      </c>
      <c r="X3" s="10" t="s">
        <v>24</v>
      </c>
      <c r="Y3" s="11" t="s">
        <v>25</v>
      </c>
      <c r="Z3" s="16" t="s">
        <v>100</v>
      </c>
      <c r="AA3" s="49" t="s">
        <v>27</v>
      </c>
      <c r="AB3" s="17" t="s">
        <v>28</v>
      </c>
      <c r="AC3" s="15" t="s">
        <v>29</v>
      </c>
      <c r="AD3" s="11" t="s">
        <v>30</v>
      </c>
      <c r="AE3" s="11" t="s">
        <v>31</v>
      </c>
    </row>
    <row r="4" spans="1:31" s="58" customFormat="1" ht="46.5">
      <c r="A4" s="50" t="s">
        <v>63</v>
      </c>
      <c r="B4" s="51" t="s">
        <v>356</v>
      </c>
      <c r="C4" s="50" t="s">
        <v>357</v>
      </c>
      <c r="D4" s="52" t="s">
        <v>358</v>
      </c>
      <c r="E4" s="52" t="s">
        <v>359</v>
      </c>
      <c r="F4" s="53" t="s">
        <v>360</v>
      </c>
      <c r="G4" s="50" t="s">
        <v>361</v>
      </c>
      <c r="H4" s="54" t="s">
        <v>362</v>
      </c>
      <c r="I4" s="50" t="s">
        <v>363</v>
      </c>
      <c r="J4" s="55" t="s">
        <v>364</v>
      </c>
      <c r="K4" s="50" t="s">
        <v>365</v>
      </c>
      <c r="L4" s="56" t="s">
        <v>366</v>
      </c>
      <c r="M4" s="56" t="s">
        <v>367</v>
      </c>
      <c r="N4" s="56" t="s">
        <v>368</v>
      </c>
      <c r="O4" s="50" t="s">
        <v>369</v>
      </c>
      <c r="P4" s="56" t="s">
        <v>370</v>
      </c>
      <c r="Q4" s="56" t="s">
        <v>371</v>
      </c>
      <c r="R4" s="55" t="s">
        <v>372</v>
      </c>
      <c r="S4" s="57" t="s">
        <v>373</v>
      </c>
      <c r="T4" s="56" t="s">
        <v>374</v>
      </c>
      <c r="U4" s="55" t="s">
        <v>375</v>
      </c>
      <c r="V4" s="56" t="s">
        <v>376</v>
      </c>
      <c r="W4" s="55" t="s">
        <v>377</v>
      </c>
      <c r="X4" s="50" t="s">
        <v>378</v>
      </c>
      <c r="Y4" s="56" t="s">
        <v>379</v>
      </c>
      <c r="Z4" s="51" t="s">
        <v>380</v>
      </c>
      <c r="AA4" s="55" t="s">
        <v>364</v>
      </c>
      <c r="AB4" s="56" t="s">
        <v>381</v>
      </c>
      <c r="AC4" s="55" t="s">
        <v>382</v>
      </c>
      <c r="AD4" s="56" t="s">
        <v>383</v>
      </c>
      <c r="AE4" s="56" t="s">
        <v>384</v>
      </c>
    </row>
    <row r="5" spans="1:31">
      <c r="A5" s="59" t="s">
        <v>385</v>
      </c>
      <c r="B5" s="60" t="s">
        <v>356</v>
      </c>
      <c r="C5" s="59" t="s">
        <v>386</v>
      </c>
      <c r="D5" s="59" t="s">
        <v>386</v>
      </c>
      <c r="E5" s="59" t="s">
        <v>386</v>
      </c>
      <c r="F5" s="59" t="s">
        <v>386</v>
      </c>
      <c r="G5" s="59" t="s">
        <v>386</v>
      </c>
      <c r="H5" s="59" t="s">
        <v>386</v>
      </c>
      <c r="I5" s="59" t="s">
        <v>386</v>
      </c>
      <c r="J5" s="59" t="s">
        <v>386</v>
      </c>
      <c r="K5" s="59" t="s">
        <v>386</v>
      </c>
      <c r="L5" s="61" t="s">
        <v>387</v>
      </c>
      <c r="M5" s="61" t="s">
        <v>387</v>
      </c>
      <c r="N5" s="61" t="s">
        <v>387</v>
      </c>
      <c r="O5" s="59" t="s">
        <v>386</v>
      </c>
      <c r="P5" s="59" t="s">
        <v>386</v>
      </c>
      <c r="Q5" s="59" t="s">
        <v>386</v>
      </c>
      <c r="R5" s="59" t="s">
        <v>386</v>
      </c>
      <c r="S5" s="62"/>
      <c r="T5" s="59" t="s">
        <v>386</v>
      </c>
      <c r="U5" s="59" t="s">
        <v>386</v>
      </c>
      <c r="V5" s="59" t="s">
        <v>386</v>
      </c>
      <c r="W5" s="59" t="s">
        <v>386</v>
      </c>
      <c r="X5" s="59"/>
      <c r="Y5" s="61" t="s">
        <v>388</v>
      </c>
      <c r="Z5" s="61" t="s">
        <v>388</v>
      </c>
      <c r="AA5" s="61" t="s">
        <v>388</v>
      </c>
      <c r="AB5" s="61" t="s">
        <v>388</v>
      </c>
      <c r="AC5" s="63"/>
      <c r="AD5" s="61"/>
      <c r="AE5" s="61"/>
    </row>
    <row r="6" spans="1:31">
      <c r="A6" s="59" t="s">
        <v>68</v>
      </c>
      <c r="B6" s="60" t="s">
        <v>68</v>
      </c>
      <c r="C6" s="60" t="s">
        <v>68</v>
      </c>
      <c r="D6" s="60" t="s">
        <v>68</v>
      </c>
      <c r="E6" s="61" t="s">
        <v>72</v>
      </c>
      <c r="F6" s="60" t="s">
        <v>68</v>
      </c>
      <c r="G6" s="60" t="s">
        <v>68</v>
      </c>
      <c r="H6" s="60" t="s">
        <v>68</v>
      </c>
      <c r="I6" s="60" t="s">
        <v>68</v>
      </c>
      <c r="J6" s="60" t="s">
        <v>68</v>
      </c>
      <c r="K6" s="60" t="s">
        <v>68</v>
      </c>
      <c r="L6" s="61" t="s">
        <v>82</v>
      </c>
      <c r="M6" s="61" t="s">
        <v>82</v>
      </c>
      <c r="N6" s="61" t="s">
        <v>82</v>
      </c>
      <c r="O6" s="61" t="s">
        <v>82</v>
      </c>
      <c r="P6" s="61" t="s">
        <v>72</v>
      </c>
      <c r="Q6" s="61" t="s">
        <v>82</v>
      </c>
      <c r="R6" s="63" t="s">
        <v>72</v>
      </c>
      <c r="S6" s="63" t="s">
        <v>72</v>
      </c>
      <c r="T6" s="63" t="s">
        <v>72</v>
      </c>
      <c r="U6" s="63" t="s">
        <v>72</v>
      </c>
      <c r="V6" s="63" t="s">
        <v>72</v>
      </c>
      <c r="W6" s="63" t="s">
        <v>72</v>
      </c>
      <c r="X6" s="60" t="s">
        <v>68</v>
      </c>
      <c r="Y6" s="60" t="s">
        <v>68</v>
      </c>
      <c r="Z6" s="60" t="s">
        <v>72</v>
      </c>
      <c r="AA6" s="60" t="s">
        <v>68</v>
      </c>
      <c r="AB6" s="61" t="s">
        <v>72</v>
      </c>
      <c r="AC6" s="61" t="s">
        <v>72</v>
      </c>
      <c r="AD6" s="61" t="s">
        <v>72</v>
      </c>
      <c r="AE6" s="61" t="s">
        <v>72</v>
      </c>
    </row>
  </sheetData>
  <mergeCells count="2">
    <mergeCell ref="H1:I1"/>
    <mergeCell ref="Y1:Z1"/>
  </mergeCells>
  <pageMargins left="0.7" right="0.7" top="0.51180555555555596" bottom="0.51180555555555596"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4"/>
  </sheetPr>
  <dimension ref="A1:AE59"/>
  <sheetViews>
    <sheetView zoomScaleNormal="100" workbookViewId="0">
      <selection activeCellId="1" sqref="A4:A13 A1"/>
    </sheetView>
  </sheetViews>
  <sheetFormatPr defaultColWidth="7.6328125" defaultRowHeight="15.5"/>
  <cols>
    <col min="1" max="1" width="30.36328125" style="2" customWidth="1"/>
    <col min="2" max="2" width="24.26953125" style="1" customWidth="1"/>
    <col min="3" max="3" width="24.1796875" style="2" customWidth="1"/>
    <col min="4" max="4" width="20.81640625" style="3" customWidth="1"/>
    <col min="5" max="5" width="51.1796875" style="3" customWidth="1"/>
    <col min="6" max="6" width="31.26953125" style="2" customWidth="1"/>
    <col min="7" max="7" width="52" style="2" customWidth="1"/>
    <col min="8" max="8" width="11.81640625" style="4" customWidth="1"/>
    <col min="9" max="9" width="8" style="4" customWidth="1"/>
    <col min="10" max="10" width="15.7265625" style="5" customWidth="1"/>
    <col min="11" max="11" width="23.7265625" style="2" customWidth="1"/>
    <col min="12" max="12" width="19.1796875" style="6" customWidth="1"/>
    <col min="13" max="13" width="23.7265625" style="3" customWidth="1"/>
    <col min="14" max="14" width="15.7265625" style="6" customWidth="1"/>
    <col min="15" max="15" width="22.81640625" style="2" customWidth="1"/>
    <col min="16" max="16" width="12.08984375" style="3" customWidth="1"/>
    <col min="17" max="17" width="18" style="6" customWidth="1"/>
    <col min="18" max="18" width="18.81640625" style="5" customWidth="1"/>
    <col min="19" max="19" width="15.90625" style="6" customWidth="1"/>
    <col min="20" max="20" width="8" style="6" customWidth="1"/>
    <col min="21" max="21" width="10.453125" style="5" customWidth="1"/>
    <col min="22" max="22" width="8" style="6" customWidth="1"/>
    <col min="23" max="23" width="12.08984375" style="5" customWidth="1"/>
    <col min="24" max="24" width="13.453125" style="2" customWidth="1"/>
    <col min="25" max="25" width="12.6328125" style="6" customWidth="1"/>
    <col min="26" max="26" width="10.453125" style="1" customWidth="1"/>
    <col min="27" max="27" width="14.54296875" style="5" customWidth="1"/>
    <col min="28" max="28" width="17.36328125" style="6" customWidth="1"/>
    <col min="29" max="29" width="15.453125" style="5" customWidth="1"/>
    <col min="30" max="30" width="15" style="6" customWidth="1"/>
    <col min="31" max="31" width="14.6328125" style="6" customWidth="1"/>
    <col min="32" max="16384" width="7.6328125" style="2"/>
  </cols>
  <sheetData>
    <row r="1" spans="1:31" ht="30.75" customHeight="1">
      <c r="H1" s="95" t="s">
        <v>0</v>
      </c>
      <c r="I1" s="95"/>
      <c r="J1" s="7">
        <f>SUM(J3:J10010)</f>
        <v>0</v>
      </c>
      <c r="K1" s="2" t="s">
        <v>353</v>
      </c>
      <c r="L1" s="6" t="s">
        <v>354</v>
      </c>
      <c r="Y1" s="96" t="s">
        <v>1</v>
      </c>
      <c r="Z1" s="96"/>
      <c r="AA1" s="7">
        <f>SUM(AA3:AA10010)</f>
        <v>0</v>
      </c>
      <c r="AB1" s="2" t="s">
        <v>353</v>
      </c>
      <c r="AC1" s="5" t="s">
        <v>355</v>
      </c>
    </row>
    <row r="2" spans="1:31" hidden="1">
      <c r="J2" s="8"/>
      <c r="AA2" s="8"/>
    </row>
    <row r="3" spans="1:31" s="18" customFormat="1" ht="51.75" customHeight="1">
      <c r="B3" s="9" t="s">
        <v>67</v>
      </c>
      <c r="C3" s="48" t="s">
        <v>3</v>
      </c>
      <c r="D3" s="11" t="s">
        <v>71</v>
      </c>
      <c r="E3" s="11" t="s">
        <v>5</v>
      </c>
      <c r="F3" s="10" t="s">
        <v>6</v>
      </c>
      <c r="G3" s="10" t="s">
        <v>7</v>
      </c>
      <c r="H3" s="10" t="s">
        <v>8</v>
      </c>
      <c r="I3" s="12" t="s">
        <v>9</v>
      </c>
      <c r="J3" s="49" t="s">
        <v>10</v>
      </c>
      <c r="K3" s="14" t="s">
        <v>11</v>
      </c>
      <c r="L3" s="11" t="s">
        <v>12</v>
      </c>
      <c r="M3" s="11" t="s">
        <v>13</v>
      </c>
      <c r="N3" s="11" t="s">
        <v>14</v>
      </c>
      <c r="O3" s="10" t="s">
        <v>15</v>
      </c>
      <c r="P3" s="11" t="s">
        <v>16</v>
      </c>
      <c r="Q3" s="11" t="s">
        <v>17</v>
      </c>
      <c r="R3" s="15" t="s">
        <v>18</v>
      </c>
      <c r="S3" s="11" t="s">
        <v>19</v>
      </c>
      <c r="T3" s="11" t="s">
        <v>20</v>
      </c>
      <c r="U3" s="15" t="s">
        <v>21</v>
      </c>
      <c r="V3" s="11" t="s">
        <v>22</v>
      </c>
      <c r="W3" s="15" t="s">
        <v>23</v>
      </c>
      <c r="X3" s="10" t="s">
        <v>24</v>
      </c>
      <c r="Y3" s="11" t="s">
        <v>25</v>
      </c>
      <c r="Z3" s="16" t="s">
        <v>100</v>
      </c>
      <c r="AA3" s="49" t="s">
        <v>27</v>
      </c>
      <c r="AB3" s="17" t="s">
        <v>28</v>
      </c>
      <c r="AC3" s="15" t="s">
        <v>29</v>
      </c>
      <c r="AD3" s="11" t="s">
        <v>30</v>
      </c>
      <c r="AE3" s="11" t="s">
        <v>31</v>
      </c>
    </row>
    <row r="4" spans="1:31" s="58" customFormat="1" ht="46.5">
      <c r="A4" s="50" t="s">
        <v>63</v>
      </c>
      <c r="B4" s="51" t="s">
        <v>356</v>
      </c>
      <c r="C4" s="50" t="s">
        <v>357</v>
      </c>
      <c r="D4" s="52" t="s">
        <v>358</v>
      </c>
      <c r="E4" s="52" t="s">
        <v>359</v>
      </c>
      <c r="F4" s="53" t="s">
        <v>360</v>
      </c>
      <c r="G4" s="50" t="s">
        <v>361</v>
      </c>
      <c r="H4" s="54" t="s">
        <v>362</v>
      </c>
      <c r="I4" s="50" t="s">
        <v>363</v>
      </c>
      <c r="J4" s="55" t="s">
        <v>364</v>
      </c>
      <c r="K4" s="50" t="s">
        <v>365</v>
      </c>
      <c r="L4" s="56" t="s">
        <v>366</v>
      </c>
      <c r="M4" s="56" t="s">
        <v>367</v>
      </c>
      <c r="N4" s="56" t="s">
        <v>368</v>
      </c>
      <c r="O4" s="50" t="s">
        <v>369</v>
      </c>
      <c r="P4" s="56" t="s">
        <v>370</v>
      </c>
      <c r="Q4" s="56" t="s">
        <v>371</v>
      </c>
      <c r="R4" s="55" t="s">
        <v>372</v>
      </c>
      <c r="S4" s="57" t="s">
        <v>373</v>
      </c>
      <c r="T4" s="56" t="s">
        <v>374</v>
      </c>
      <c r="U4" s="55" t="s">
        <v>375</v>
      </c>
      <c r="V4" s="56" t="s">
        <v>376</v>
      </c>
      <c r="W4" s="55" t="s">
        <v>377</v>
      </c>
      <c r="X4" s="50" t="s">
        <v>378</v>
      </c>
      <c r="Y4" s="56" t="s">
        <v>379</v>
      </c>
      <c r="Z4" s="51" t="s">
        <v>380</v>
      </c>
      <c r="AA4" s="55" t="s">
        <v>364</v>
      </c>
      <c r="AB4" s="56" t="s">
        <v>381</v>
      </c>
      <c r="AC4" s="55" t="s">
        <v>382</v>
      </c>
      <c r="AD4" s="56" t="s">
        <v>383</v>
      </c>
      <c r="AE4" s="56" t="s">
        <v>384</v>
      </c>
    </row>
    <row r="5" spans="1:31">
      <c r="A5" s="59" t="s">
        <v>385</v>
      </c>
      <c r="B5" s="60" t="s">
        <v>356</v>
      </c>
      <c r="C5" s="59" t="s">
        <v>386</v>
      </c>
      <c r="D5" s="59" t="s">
        <v>386</v>
      </c>
      <c r="E5" s="59" t="s">
        <v>386</v>
      </c>
      <c r="F5" s="59" t="s">
        <v>386</v>
      </c>
      <c r="G5" s="59" t="s">
        <v>386</v>
      </c>
      <c r="H5" s="59" t="s">
        <v>386</v>
      </c>
      <c r="I5" s="59" t="s">
        <v>386</v>
      </c>
      <c r="J5" s="59" t="s">
        <v>386</v>
      </c>
      <c r="K5" s="59" t="s">
        <v>386</v>
      </c>
      <c r="L5" s="61" t="s">
        <v>387</v>
      </c>
      <c r="M5" s="61" t="s">
        <v>387</v>
      </c>
      <c r="N5" s="61" t="s">
        <v>387</v>
      </c>
      <c r="O5" s="59" t="s">
        <v>386</v>
      </c>
      <c r="P5" s="59" t="s">
        <v>386</v>
      </c>
      <c r="Q5" s="59" t="s">
        <v>386</v>
      </c>
      <c r="R5" s="59" t="s">
        <v>386</v>
      </c>
      <c r="S5" s="62"/>
      <c r="T5" s="59" t="s">
        <v>386</v>
      </c>
      <c r="U5" s="59" t="s">
        <v>386</v>
      </c>
      <c r="V5" s="59" t="s">
        <v>386</v>
      </c>
      <c r="W5" s="59" t="s">
        <v>386</v>
      </c>
      <c r="X5" s="59"/>
      <c r="Y5" s="61" t="s">
        <v>388</v>
      </c>
      <c r="Z5" s="61" t="s">
        <v>388</v>
      </c>
      <c r="AA5" s="61" t="s">
        <v>388</v>
      </c>
      <c r="AB5" s="61" t="s">
        <v>388</v>
      </c>
      <c r="AC5" s="63"/>
      <c r="AD5" s="61"/>
      <c r="AE5" s="61"/>
    </row>
    <row r="6" spans="1:31">
      <c r="A6" s="59" t="s">
        <v>68</v>
      </c>
      <c r="B6" s="60" t="s">
        <v>68</v>
      </c>
      <c r="C6" s="60" t="s">
        <v>68</v>
      </c>
      <c r="D6" s="60" t="s">
        <v>68</v>
      </c>
      <c r="E6" s="61" t="s">
        <v>72</v>
      </c>
      <c r="F6" s="60" t="s">
        <v>68</v>
      </c>
      <c r="G6" s="60" t="s">
        <v>68</v>
      </c>
      <c r="H6" s="60" t="s">
        <v>68</v>
      </c>
      <c r="I6" s="60" t="s">
        <v>68</v>
      </c>
      <c r="J6" s="60" t="s">
        <v>68</v>
      </c>
      <c r="K6" s="60" t="s">
        <v>68</v>
      </c>
      <c r="L6" s="61" t="s">
        <v>82</v>
      </c>
      <c r="M6" s="61" t="s">
        <v>82</v>
      </c>
      <c r="N6" s="61" t="s">
        <v>82</v>
      </c>
      <c r="O6" s="61" t="s">
        <v>82</v>
      </c>
      <c r="P6" s="61" t="s">
        <v>72</v>
      </c>
      <c r="Q6" s="61" t="s">
        <v>82</v>
      </c>
      <c r="R6" s="63" t="s">
        <v>72</v>
      </c>
      <c r="S6" s="63" t="s">
        <v>72</v>
      </c>
      <c r="T6" s="63" t="s">
        <v>72</v>
      </c>
      <c r="U6" s="63" t="s">
        <v>72</v>
      </c>
      <c r="V6" s="63" t="s">
        <v>72</v>
      </c>
      <c r="W6" s="63" t="s">
        <v>72</v>
      </c>
      <c r="X6" s="60" t="s">
        <v>68</v>
      </c>
      <c r="Y6" s="60" t="s">
        <v>68</v>
      </c>
      <c r="Z6" s="60" t="s">
        <v>72</v>
      </c>
      <c r="AA6" s="60" t="s">
        <v>68</v>
      </c>
      <c r="AB6" s="61" t="s">
        <v>72</v>
      </c>
      <c r="AC6" s="61" t="s">
        <v>72</v>
      </c>
      <c r="AD6" s="61" t="s">
        <v>72</v>
      </c>
      <c r="AE6" s="61" t="s">
        <v>72</v>
      </c>
    </row>
    <row r="8" spans="1:31">
      <c r="A8" s="64" t="s">
        <v>389</v>
      </c>
      <c r="B8" s="65" t="s">
        <v>390</v>
      </c>
      <c r="C8" s="64" t="s">
        <v>391</v>
      </c>
      <c r="D8" s="66" t="s">
        <v>68</v>
      </c>
      <c r="E8" s="66" t="s">
        <v>392</v>
      </c>
      <c r="F8" s="66" t="s">
        <v>393</v>
      </c>
      <c r="G8" s="66" t="s">
        <v>394</v>
      </c>
    </row>
    <row r="9" spans="1:31" ht="31">
      <c r="A9" s="67" t="s">
        <v>67</v>
      </c>
      <c r="B9" s="60" t="s">
        <v>356</v>
      </c>
      <c r="C9" s="60" t="s">
        <v>356</v>
      </c>
      <c r="D9" s="60" t="s">
        <v>68</v>
      </c>
      <c r="E9" s="68" t="s">
        <v>395</v>
      </c>
      <c r="F9" s="69" t="s">
        <v>396</v>
      </c>
      <c r="G9" s="70"/>
    </row>
    <row r="10" spans="1:31" ht="31">
      <c r="A10" s="67"/>
      <c r="B10" s="60"/>
      <c r="C10" s="60"/>
      <c r="D10" s="60"/>
      <c r="E10" s="68" t="s">
        <v>397</v>
      </c>
      <c r="F10" s="69" t="s">
        <v>398</v>
      </c>
      <c r="G10" s="70"/>
    </row>
    <row r="11" spans="1:31">
      <c r="A11" s="67"/>
      <c r="B11" s="60"/>
      <c r="C11" s="60"/>
      <c r="D11" s="60"/>
      <c r="E11" s="68" t="s">
        <v>399</v>
      </c>
      <c r="F11" s="69" t="s">
        <v>398</v>
      </c>
      <c r="G11" s="70"/>
    </row>
    <row r="12" spans="1:31">
      <c r="A12" s="71" t="s">
        <v>3</v>
      </c>
      <c r="B12" s="59" t="s">
        <v>357</v>
      </c>
      <c r="C12" s="59" t="s">
        <v>386</v>
      </c>
      <c r="D12" s="60" t="s">
        <v>68</v>
      </c>
      <c r="E12" s="56" t="s">
        <v>400</v>
      </c>
      <c r="F12" s="69" t="s">
        <v>396</v>
      </c>
      <c r="G12" s="70"/>
    </row>
    <row r="13" spans="1:31" ht="31">
      <c r="A13" s="72" t="s">
        <v>71</v>
      </c>
      <c r="B13" s="73" t="s">
        <v>358</v>
      </c>
      <c r="C13" s="59" t="s">
        <v>386</v>
      </c>
      <c r="D13" s="60" t="s">
        <v>68</v>
      </c>
      <c r="E13" s="56" t="s">
        <v>400</v>
      </c>
      <c r="F13" s="69" t="s">
        <v>396</v>
      </c>
      <c r="G13" s="70"/>
    </row>
    <row r="14" spans="1:31" ht="31">
      <c r="A14" s="72" t="s">
        <v>5</v>
      </c>
      <c r="B14" s="73" t="s">
        <v>359</v>
      </c>
      <c r="C14" s="59" t="s">
        <v>386</v>
      </c>
      <c r="D14" s="61" t="s">
        <v>72</v>
      </c>
      <c r="E14" s="74"/>
      <c r="F14" s="69"/>
      <c r="G14" s="70"/>
    </row>
    <row r="15" spans="1:31" ht="33.75" customHeight="1">
      <c r="A15" s="75" t="s">
        <v>6</v>
      </c>
      <c r="B15" s="76" t="s">
        <v>401</v>
      </c>
      <c r="C15" s="59" t="s">
        <v>386</v>
      </c>
      <c r="D15" s="60" t="s">
        <v>68</v>
      </c>
      <c r="E15" s="56" t="s">
        <v>400</v>
      </c>
      <c r="F15" s="69" t="s">
        <v>396</v>
      </c>
      <c r="G15" s="70"/>
    </row>
    <row r="16" spans="1:31">
      <c r="A16" s="71" t="s">
        <v>7</v>
      </c>
      <c r="B16" s="59" t="s">
        <v>361</v>
      </c>
      <c r="C16" s="59" t="s">
        <v>386</v>
      </c>
      <c r="D16" s="60" t="s">
        <v>68</v>
      </c>
      <c r="E16" s="61" t="s">
        <v>400</v>
      </c>
      <c r="F16" s="69" t="s">
        <v>396</v>
      </c>
      <c r="G16" s="70"/>
    </row>
    <row r="17" spans="1:7" ht="62">
      <c r="A17" s="71"/>
      <c r="B17" s="59"/>
      <c r="C17" s="59"/>
      <c r="D17" s="60"/>
      <c r="E17" s="68" t="s">
        <v>402</v>
      </c>
      <c r="F17" s="77" t="s">
        <v>403</v>
      </c>
      <c r="G17" s="70"/>
    </row>
    <row r="18" spans="1:7" ht="31">
      <c r="A18" s="71" t="s">
        <v>8</v>
      </c>
      <c r="B18" s="78" t="s">
        <v>362</v>
      </c>
      <c r="C18" s="59" t="s">
        <v>386</v>
      </c>
      <c r="D18" s="60" t="s">
        <v>68</v>
      </c>
      <c r="E18" s="79" t="s">
        <v>404</v>
      </c>
      <c r="F18" s="80" t="s">
        <v>405</v>
      </c>
      <c r="G18" s="70"/>
    </row>
    <row r="19" spans="1:7" ht="31">
      <c r="A19" s="71" t="s">
        <v>9</v>
      </c>
      <c r="B19" s="59" t="s">
        <v>363</v>
      </c>
      <c r="C19" s="59" t="s">
        <v>386</v>
      </c>
      <c r="D19" s="60" t="s">
        <v>68</v>
      </c>
      <c r="E19" s="81" t="s">
        <v>406</v>
      </c>
      <c r="F19" s="82" t="s">
        <v>407</v>
      </c>
      <c r="G19" s="70"/>
    </row>
    <row r="20" spans="1:7">
      <c r="A20" s="83" t="s">
        <v>10</v>
      </c>
      <c r="B20" s="63" t="s">
        <v>364</v>
      </c>
      <c r="C20" s="59" t="s">
        <v>386</v>
      </c>
      <c r="D20" s="60" t="s">
        <v>68</v>
      </c>
      <c r="E20" s="61" t="s">
        <v>400</v>
      </c>
      <c r="F20" s="69" t="s">
        <v>396</v>
      </c>
      <c r="G20" s="70"/>
    </row>
    <row r="21" spans="1:7">
      <c r="A21" s="83"/>
      <c r="B21" s="63"/>
      <c r="C21" s="59"/>
      <c r="D21" s="60"/>
      <c r="E21" s="61" t="s">
        <v>408</v>
      </c>
      <c r="F21" s="70" t="s">
        <v>409</v>
      </c>
      <c r="G21" s="70"/>
    </row>
    <row r="22" spans="1:7" ht="31">
      <c r="A22" s="71" t="s">
        <v>11</v>
      </c>
      <c r="B22" s="59" t="s">
        <v>365</v>
      </c>
      <c r="C22" s="59" t="s">
        <v>386</v>
      </c>
      <c r="D22" s="60" t="s">
        <v>68</v>
      </c>
      <c r="E22" s="56" t="s">
        <v>400</v>
      </c>
      <c r="F22" s="69" t="s">
        <v>396</v>
      </c>
      <c r="G22" s="70"/>
    </row>
    <row r="23" spans="1:7" ht="31">
      <c r="A23" s="72" t="s">
        <v>12</v>
      </c>
      <c r="B23" s="61" t="s">
        <v>366</v>
      </c>
      <c r="C23" s="61" t="s">
        <v>387</v>
      </c>
      <c r="D23" s="61" t="s">
        <v>82</v>
      </c>
      <c r="E23" s="81" t="s">
        <v>410</v>
      </c>
      <c r="F23" s="69" t="s">
        <v>396</v>
      </c>
      <c r="G23" s="70"/>
    </row>
    <row r="24" spans="1:7" ht="31">
      <c r="A24" s="72"/>
      <c r="B24" s="61"/>
      <c r="C24" s="61"/>
      <c r="D24" s="61"/>
      <c r="E24" s="81" t="s">
        <v>411</v>
      </c>
      <c r="F24" s="82" t="s">
        <v>412</v>
      </c>
      <c r="G24" s="70"/>
    </row>
    <row r="25" spans="1:7" ht="31">
      <c r="A25" s="72" t="s">
        <v>13</v>
      </c>
      <c r="B25" s="61" t="s">
        <v>367</v>
      </c>
      <c r="C25" s="61" t="s">
        <v>387</v>
      </c>
      <c r="D25" s="61" t="s">
        <v>82</v>
      </c>
      <c r="E25" s="81" t="s">
        <v>413</v>
      </c>
      <c r="F25" s="69" t="s">
        <v>396</v>
      </c>
      <c r="G25" s="70"/>
    </row>
    <row r="26" spans="1:7" ht="31">
      <c r="A26" s="72"/>
      <c r="B26" s="61"/>
      <c r="C26" s="61"/>
      <c r="D26" s="61"/>
      <c r="E26" s="61" t="s">
        <v>414</v>
      </c>
      <c r="F26" s="82" t="s">
        <v>415</v>
      </c>
      <c r="G26" s="70"/>
    </row>
    <row r="27" spans="1:7" ht="31">
      <c r="A27" s="72"/>
      <c r="B27" s="61"/>
      <c r="C27" s="61"/>
      <c r="D27" s="61"/>
      <c r="E27" s="61" t="s">
        <v>416</v>
      </c>
      <c r="F27" s="82" t="s">
        <v>417</v>
      </c>
      <c r="G27" s="70"/>
    </row>
    <row r="28" spans="1:7" ht="31">
      <c r="A28" s="72" t="s">
        <v>14</v>
      </c>
      <c r="B28" s="61" t="s">
        <v>368</v>
      </c>
      <c r="C28" s="61" t="s">
        <v>387</v>
      </c>
      <c r="D28" s="61" t="s">
        <v>82</v>
      </c>
      <c r="E28" s="81" t="s">
        <v>418</v>
      </c>
      <c r="F28" s="70"/>
      <c r="G28" s="70" t="s">
        <v>419</v>
      </c>
    </row>
    <row r="29" spans="1:7" ht="31">
      <c r="A29" s="71" t="s">
        <v>15</v>
      </c>
      <c r="B29" s="59" t="s">
        <v>369</v>
      </c>
      <c r="C29" s="59" t="s">
        <v>386</v>
      </c>
      <c r="D29" s="61" t="s">
        <v>82</v>
      </c>
      <c r="E29" s="81" t="s">
        <v>420</v>
      </c>
      <c r="F29" s="69" t="s">
        <v>396</v>
      </c>
      <c r="G29" s="70"/>
    </row>
    <row r="30" spans="1:7" ht="31">
      <c r="A30" s="72" t="s">
        <v>16</v>
      </c>
      <c r="B30" s="61" t="s">
        <v>370</v>
      </c>
      <c r="C30" s="59" t="s">
        <v>386</v>
      </c>
      <c r="D30" s="61" t="s">
        <v>72</v>
      </c>
      <c r="E30" s="81" t="s">
        <v>421</v>
      </c>
      <c r="F30" s="69" t="s">
        <v>396</v>
      </c>
      <c r="G30" s="70"/>
    </row>
    <row r="31" spans="1:7" ht="62">
      <c r="A31" s="72"/>
      <c r="B31" s="61"/>
      <c r="C31" s="59"/>
      <c r="D31" s="61"/>
      <c r="E31" s="81" t="s">
        <v>422</v>
      </c>
      <c r="F31" s="84" t="s">
        <v>423</v>
      </c>
      <c r="G31" s="70"/>
    </row>
    <row r="32" spans="1:7" ht="31">
      <c r="A32" s="72"/>
      <c r="B32" s="61"/>
      <c r="C32" s="59"/>
      <c r="D32" s="61"/>
      <c r="E32" s="68" t="s">
        <v>424</v>
      </c>
      <c r="F32" s="77" t="s">
        <v>425</v>
      </c>
      <c r="G32" s="70"/>
    </row>
    <row r="33" spans="1:7" ht="31">
      <c r="A33" s="72" t="s">
        <v>17</v>
      </c>
      <c r="B33" s="61" t="s">
        <v>371</v>
      </c>
      <c r="C33" s="59" t="s">
        <v>386</v>
      </c>
      <c r="D33" s="61" t="s">
        <v>82</v>
      </c>
      <c r="E33" s="81" t="s">
        <v>421</v>
      </c>
      <c r="F33" s="69" t="s">
        <v>396</v>
      </c>
      <c r="G33" s="70"/>
    </row>
    <row r="34" spans="1:7">
      <c r="A34" s="83" t="s">
        <v>18</v>
      </c>
      <c r="B34" s="63" t="s">
        <v>372</v>
      </c>
      <c r="C34" s="59" t="s">
        <v>386</v>
      </c>
      <c r="D34" s="63" t="s">
        <v>72</v>
      </c>
      <c r="E34" s="81"/>
      <c r="F34" s="69"/>
      <c r="G34" s="70"/>
    </row>
    <row r="35" spans="1:7">
      <c r="A35" s="72" t="s">
        <v>19</v>
      </c>
      <c r="B35" s="62" t="s">
        <v>373</v>
      </c>
      <c r="C35" s="62"/>
      <c r="D35" s="63" t="s">
        <v>72</v>
      </c>
      <c r="E35" s="85"/>
      <c r="F35" s="70"/>
      <c r="G35" s="70" t="s">
        <v>426</v>
      </c>
    </row>
    <row r="36" spans="1:7">
      <c r="A36" s="72" t="s">
        <v>20</v>
      </c>
      <c r="B36" s="61" t="s">
        <v>374</v>
      </c>
      <c r="C36" s="59" t="s">
        <v>386</v>
      </c>
      <c r="D36" s="63" t="s">
        <v>72</v>
      </c>
      <c r="E36" s="85"/>
      <c r="F36" s="70"/>
      <c r="G36" s="70"/>
    </row>
    <row r="37" spans="1:7">
      <c r="A37" s="83" t="s">
        <v>21</v>
      </c>
      <c r="B37" s="63" t="s">
        <v>375</v>
      </c>
      <c r="C37" s="59" t="s">
        <v>386</v>
      </c>
      <c r="D37" s="63" t="s">
        <v>72</v>
      </c>
      <c r="E37" s="85"/>
      <c r="F37" s="70"/>
      <c r="G37" s="70"/>
    </row>
    <row r="38" spans="1:7">
      <c r="A38" s="72" t="s">
        <v>22</v>
      </c>
      <c r="B38" s="61" t="s">
        <v>376</v>
      </c>
      <c r="C38" s="59" t="s">
        <v>386</v>
      </c>
      <c r="D38" s="63" t="s">
        <v>72</v>
      </c>
      <c r="E38" s="85"/>
      <c r="F38" s="70"/>
      <c r="G38" s="70"/>
    </row>
    <row r="39" spans="1:7">
      <c r="A39" s="83" t="s">
        <v>23</v>
      </c>
      <c r="B39" s="63" t="s">
        <v>377</v>
      </c>
      <c r="C39" s="59" t="s">
        <v>386</v>
      </c>
      <c r="D39" s="63" t="s">
        <v>72</v>
      </c>
      <c r="E39" s="85"/>
      <c r="F39" s="70"/>
      <c r="G39" s="70"/>
    </row>
    <row r="40" spans="1:7">
      <c r="A40" s="71" t="s">
        <v>24</v>
      </c>
      <c r="B40" s="59" t="s">
        <v>378</v>
      </c>
      <c r="C40" s="59"/>
      <c r="D40" s="60" t="s">
        <v>68</v>
      </c>
      <c r="E40" s="61" t="s">
        <v>400</v>
      </c>
      <c r="F40" s="69" t="s">
        <v>396</v>
      </c>
      <c r="G40" s="70"/>
    </row>
    <row r="41" spans="1:7" ht="46.5">
      <c r="A41" s="71"/>
      <c r="B41" s="59"/>
      <c r="C41" s="59"/>
      <c r="D41" s="60"/>
      <c r="E41" s="81" t="s">
        <v>427</v>
      </c>
      <c r="F41" s="82" t="s">
        <v>428</v>
      </c>
      <c r="G41" s="70"/>
    </row>
    <row r="42" spans="1:7">
      <c r="A42" s="72" t="s">
        <v>25</v>
      </c>
      <c r="B42" s="61" t="s">
        <v>379</v>
      </c>
      <c r="C42" s="61" t="s">
        <v>388</v>
      </c>
      <c r="D42" s="60" t="s">
        <v>68</v>
      </c>
      <c r="E42" s="61" t="s">
        <v>400</v>
      </c>
      <c r="F42" s="69" t="s">
        <v>396</v>
      </c>
      <c r="G42" s="70"/>
    </row>
    <row r="43" spans="1:7">
      <c r="A43" s="67" t="s">
        <v>100</v>
      </c>
      <c r="B43" s="60" t="s">
        <v>380</v>
      </c>
      <c r="C43" s="61" t="s">
        <v>388</v>
      </c>
      <c r="D43" s="60" t="s">
        <v>72</v>
      </c>
      <c r="E43" s="61" t="s">
        <v>429</v>
      </c>
      <c r="F43" s="70" t="s">
        <v>430</v>
      </c>
      <c r="G43" s="70"/>
    </row>
    <row r="44" spans="1:7">
      <c r="A44" s="83" t="s">
        <v>27</v>
      </c>
      <c r="B44" s="63" t="s">
        <v>364</v>
      </c>
      <c r="C44" s="61" t="s">
        <v>388</v>
      </c>
      <c r="D44" s="60" t="s">
        <v>68</v>
      </c>
      <c r="E44" s="61" t="s">
        <v>400</v>
      </c>
      <c r="F44" s="69" t="s">
        <v>396</v>
      </c>
      <c r="G44" s="70"/>
    </row>
    <row r="45" spans="1:7">
      <c r="A45" s="72" t="s">
        <v>28</v>
      </c>
      <c r="B45" s="61" t="s">
        <v>381</v>
      </c>
      <c r="C45" s="61" t="s">
        <v>388</v>
      </c>
      <c r="D45" s="61" t="s">
        <v>72</v>
      </c>
      <c r="E45" s="85"/>
      <c r="F45" s="70"/>
      <c r="G45" s="70"/>
    </row>
    <row r="46" spans="1:7">
      <c r="A46" s="83" t="s">
        <v>29</v>
      </c>
      <c r="B46" s="63" t="s">
        <v>382</v>
      </c>
      <c r="C46" s="63"/>
      <c r="D46" s="61" t="s">
        <v>72</v>
      </c>
      <c r="E46" s="85"/>
      <c r="F46" s="70"/>
      <c r="G46" s="70"/>
    </row>
    <row r="47" spans="1:7">
      <c r="A47" s="72" t="s">
        <v>30</v>
      </c>
      <c r="B47" s="61" t="s">
        <v>383</v>
      </c>
      <c r="C47" s="61"/>
      <c r="D47" s="61" t="s">
        <v>72</v>
      </c>
      <c r="E47" s="85"/>
      <c r="F47" s="70"/>
      <c r="G47" s="70"/>
    </row>
    <row r="48" spans="1:7">
      <c r="A48" s="72" t="s">
        <v>31</v>
      </c>
      <c r="B48" s="61" t="s">
        <v>384</v>
      </c>
      <c r="C48" s="61"/>
      <c r="D48" s="61" t="s">
        <v>72</v>
      </c>
      <c r="E48" s="85"/>
      <c r="F48" s="70"/>
      <c r="G48" s="70"/>
    </row>
    <row r="49" spans="1:12" ht="46.5">
      <c r="A49" s="86" t="s">
        <v>0</v>
      </c>
      <c r="B49" s="87" t="s">
        <v>354</v>
      </c>
      <c r="C49" s="88" t="s">
        <v>353</v>
      </c>
      <c r="D49" s="89" t="s">
        <v>68</v>
      </c>
      <c r="E49" s="81" t="s">
        <v>431</v>
      </c>
      <c r="F49" s="84" t="s">
        <v>432</v>
      </c>
      <c r="G49" s="70"/>
    </row>
    <row r="50" spans="1:12" ht="31">
      <c r="A50" s="86"/>
      <c r="B50" s="87"/>
      <c r="C50" s="88"/>
      <c r="D50" s="89"/>
      <c r="E50" s="61" t="s">
        <v>433</v>
      </c>
      <c r="F50" s="82" t="s">
        <v>434</v>
      </c>
      <c r="G50" s="70"/>
    </row>
    <row r="51" spans="1:12" ht="46.5">
      <c r="A51" s="86" t="s">
        <v>1</v>
      </c>
      <c r="B51" s="89" t="s">
        <v>355</v>
      </c>
      <c r="C51" s="88" t="s">
        <v>353</v>
      </c>
      <c r="D51" s="89" t="s">
        <v>68</v>
      </c>
      <c r="E51" s="81" t="s">
        <v>435</v>
      </c>
      <c r="F51" s="82" t="s">
        <v>436</v>
      </c>
      <c r="G51" s="70"/>
    </row>
    <row r="52" spans="1:12" ht="31">
      <c r="A52" s="90"/>
      <c r="B52" s="91"/>
      <c r="C52" s="90"/>
      <c r="D52" s="92"/>
      <c r="E52" s="61" t="s">
        <v>433</v>
      </c>
      <c r="F52" s="82" t="s">
        <v>434</v>
      </c>
      <c r="G52" s="70"/>
    </row>
    <row r="58" spans="1:12">
      <c r="L58" s="101"/>
    </row>
    <row r="59" spans="1:12">
      <c r="L59" s="101"/>
    </row>
  </sheetData>
  <mergeCells count="3">
    <mergeCell ref="H1:I1"/>
    <mergeCell ref="Y1:Z1"/>
    <mergeCell ref="L58:L59"/>
  </mergeCells>
  <pageMargins left="0.7" right="0.7" top="0.51180555555555596" bottom="0.51180555555555596"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11943</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Payment_Entry</vt:lpstr>
      <vt:lpstr>Instructions</vt:lpstr>
      <vt:lpstr>Country_List</vt:lpstr>
      <vt:lpstr>Mapping</vt:lpstr>
      <vt:lpstr>Fields_Mapping_(2)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 Kenneally</dc:creator>
  <dc:description/>
  <cp:lastModifiedBy>LENOVO</cp:lastModifiedBy>
  <cp:revision>24</cp:revision>
  <dcterms:created xsi:type="dcterms:W3CDTF">2021-03-19T10:36:05Z</dcterms:created>
  <dcterms:modified xsi:type="dcterms:W3CDTF">2026-02-17T07:03:35Z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0x0101004728CC83048393478980A1956085FBF6</vt:lpwstr>
  </property>
  <property fmtid="{D5CDD505-2E9C-101B-9397-08002B2CF9AE}" pid="3" name="MediaServiceImageTags">
    <vt:lpwstr/>
  </property>
</Properties>
</file>